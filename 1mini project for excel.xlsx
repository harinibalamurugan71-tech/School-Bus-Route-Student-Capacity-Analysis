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https://d.docs.live.net/66d3e85b6ec4b219/Attachments/Desktop/DATA ANALYST/"/>
    </mc:Choice>
  </mc:AlternateContent>
  <xr:revisionPtr revIDLastSave="6" documentId="8_{45B625C7-D8B2-4958-98FF-1C26084495FD}" xr6:coauthVersionLast="44" xr6:coauthVersionMax="44" xr10:uidLastSave="{69EE9A0D-6388-4E97-B95D-201B7904F8BB}"/>
  <bookViews>
    <workbookView xWindow="-120" yWindow="-120" windowWidth="20730" windowHeight="11040" activeTab="2" xr2:uid="{238B01C1-4C84-4960-AD9B-C534D9D9BA3D}"/>
  </bookViews>
  <sheets>
    <sheet name="PIVOT TABLE" sheetId="3" r:id="rId1"/>
    <sheet name="DATASET" sheetId="1" r:id="rId2"/>
    <sheet name="DASHBOARD" sheetId="5" r:id="rId3"/>
  </sheets>
  <definedNames>
    <definedName name="Slicer_Day">#N/A</definedName>
    <definedName name="Slicer_Rou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P10" i="1" l="1"/>
  <c r="P8" i="1"/>
  <c r="M28" i="1" l="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 r="P14" i="1" l="1"/>
</calcChain>
</file>

<file path=xl/sharedStrings.xml><?xml version="1.0" encoding="utf-8"?>
<sst xmlns="http://schemas.openxmlformats.org/spreadsheetml/2006/main" count="189" uniqueCount="73">
  <si>
    <t>Trip_ID</t>
  </si>
  <si>
    <t>Date</t>
  </si>
  <si>
    <t>Day</t>
  </si>
  <si>
    <t>Bus_ID</t>
  </si>
  <si>
    <t>Route</t>
  </si>
  <si>
    <t>Stop</t>
  </si>
  <si>
    <t>Scheduled_Time</t>
  </si>
  <si>
    <t>Actual_Time</t>
  </si>
  <si>
    <t>Students_Count</t>
  </si>
  <si>
    <t>Capacity</t>
  </si>
  <si>
    <t>Delay_Minutes</t>
  </si>
  <si>
    <t>Crowd_Status</t>
  </si>
  <si>
    <t>Occupancy_%</t>
  </si>
  <si>
    <t>T001</t>
  </si>
  <si>
    <t>Tuesday</t>
  </si>
  <si>
    <t>BUS01</t>
  </si>
  <si>
    <t>Route 1</t>
  </si>
  <si>
    <t>Stop A</t>
  </si>
  <si>
    <t>T002</t>
  </si>
  <si>
    <t>Stop B</t>
  </si>
  <si>
    <t>T003</t>
  </si>
  <si>
    <t>BUS02</t>
  </si>
  <si>
    <t>Route 2</t>
  </si>
  <si>
    <t>Stop C</t>
  </si>
  <si>
    <t>T004</t>
  </si>
  <si>
    <t>Stop D</t>
  </si>
  <si>
    <t>T005</t>
  </si>
  <si>
    <t>BUS03</t>
  </si>
  <si>
    <t>Route 3</t>
  </si>
  <si>
    <t>Stop E</t>
  </si>
  <si>
    <t>T006</t>
  </si>
  <si>
    <t>Wednesday</t>
  </si>
  <si>
    <t>T007</t>
  </si>
  <si>
    <t>T008</t>
  </si>
  <si>
    <t>T009</t>
  </si>
  <si>
    <t>T010</t>
  </si>
  <si>
    <t>Stop F</t>
  </si>
  <si>
    <t>T011</t>
  </si>
  <si>
    <t>Thursday</t>
  </si>
  <si>
    <t>T012</t>
  </si>
  <si>
    <t>T013</t>
  </si>
  <si>
    <t>T014</t>
  </si>
  <si>
    <t>T015</t>
  </si>
  <si>
    <t>T016</t>
  </si>
  <si>
    <t>Friday</t>
  </si>
  <si>
    <t>T017</t>
  </si>
  <si>
    <t>T018</t>
  </si>
  <si>
    <t>T019</t>
  </si>
  <si>
    <t>T020</t>
  </si>
  <si>
    <t>Saturday</t>
  </si>
  <si>
    <t>T021</t>
  </si>
  <si>
    <t>T022</t>
  </si>
  <si>
    <t>T023</t>
  </si>
  <si>
    <t>T024</t>
  </si>
  <si>
    <t>Sunday</t>
  </si>
  <si>
    <t>T025</t>
  </si>
  <si>
    <t>T026</t>
  </si>
  <si>
    <t>T027</t>
  </si>
  <si>
    <t>Row Labels</t>
  </si>
  <si>
    <t>Grand Total</t>
  </si>
  <si>
    <t>Sum of Students_Count</t>
  </si>
  <si>
    <t>Average of Delay_Minutes</t>
  </si>
  <si>
    <t>Average of Students_Count</t>
  </si>
  <si>
    <t>Column Labels</t>
  </si>
  <si>
    <t>Normal</t>
  </si>
  <si>
    <t>Overcrowded</t>
  </si>
  <si>
    <t>Count of Trip_ID</t>
  </si>
  <si>
    <t>Average of Occupancy_%</t>
  </si>
  <si>
    <t>TOTAL TRIPS</t>
  </si>
  <si>
    <t>TOTAL STEUDETS</t>
  </si>
  <si>
    <t>AVERAGE DELAY</t>
  </si>
  <si>
    <t>OVER CROWED TRIPS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</si>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</sst>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sz val="36"/>
      <color theme="1"/>
      <name val="Times New Roman"/>
      <family val="1"/>
    </font>
    <font>
      <sz val="26"/>
      <color theme="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0" fillId="0" borderId="1" xfId="0" applyBorder="1"/>
    <xf numFmtId="14" fontId="0" fillId="0" borderId="1" xfId="0" applyNumberFormat="1" applyBorder="1"/>
    <xf numFmtId="20" fontId="0" fillId="0" borderId="1" xfId="0" applyNumberFormat="1" applyBorder="1"/>
    <xf numFmtId="0" fontId="0" fillId="0" borderId="2" xfId="0" applyBorder="1"/>
    <xf numFmtId="0" fontId="0" fillId="0" borderId="3" xfId="0" applyBorder="1"/>
    <xf numFmtId="0" fontId="0" fillId="0" borderId="4" xfId="0" applyBorder="1"/>
    <xf numFmtId="14" fontId="0" fillId="0" borderId="5" xfId="0" applyNumberFormat="1" applyBorder="1"/>
    <xf numFmtId="0" fontId="0" fillId="0" borderId="5" xfId="0" applyBorder="1"/>
    <xf numFmtId="20" fontId="0" fillId="0" borderId="5" xfId="0" applyNumberFormat="1" applyBorder="1"/>
    <xf numFmtId="0" fontId="0" fillId="0" borderId="6" xfId="0" applyBorder="1"/>
    <xf numFmtId="0" fontId="1" fillId="0" borderId="2" xfId="0" applyFont="1" applyBorder="1"/>
    <xf numFmtId="0" fontId="1" fillId="0" borderId="1" xfId="0" applyFont="1" applyBorder="1"/>
    <xf numFmtId="0" fontId="1" fillId="0" borderId="3" xfId="0" applyFont="1" applyBorder="1"/>
    <xf numFmtId="0" fontId="1" fillId="0" borderId="0" xfId="0" applyFont="1"/>
    <xf numFmtId="0" fontId="2" fillId="0" borderId="0" xfId="0" applyFont="1"/>
    <xf numFmtId="0" fontId="3" fillId="0" borderId="1" xfId="0" pivotButton="1" applyFont="1" applyBorder="1"/>
    <xf numFmtId="0" fontId="3" fillId="0" borderId="1" xfId="0" applyFont="1" applyBorder="1"/>
    <xf numFmtId="0" fontId="3" fillId="0" borderId="1" xfId="0" applyFont="1" applyBorder="1" applyAlignment="1">
      <alignment horizontal="left"/>
    </xf>
    <xf numFmtId="0" fontId="3" fillId="0" borderId="1" xfId="0" applyNumberFormat="1" applyFont="1" applyBorder="1"/>
  </cellXfs>
  <cellStyles count="1">
    <cellStyle name="Normal" xfId="0" builtinId="0"/>
  </cellStyles>
  <dxfs count="14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5" formatCode="hh:mm"/>
      <border diagonalUp="0" diagonalDown="0">
        <left style="thin">
          <color indexed="64"/>
        </left>
        <right style="thin">
          <color indexed="64"/>
        </right>
        <top style="thin">
          <color indexed="64"/>
        </top>
        <bottom style="thin">
          <color indexed="64"/>
        </bottom>
        <vertical/>
        <horizontal/>
      </border>
    </dxf>
    <dxf>
      <numFmt numFmtId="25" formatCode="hh:mm"/>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2"/>
        <color theme="1"/>
        <name val="Calibri"/>
        <family val="2"/>
        <scheme val="minor"/>
      </font>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sz val="26"/>
      </font>
    </dxf>
    <dxf>
      <font>
        <sz val="26"/>
      </font>
    </dxf>
    <dxf>
      <font>
        <sz val="26"/>
      </font>
    </dxf>
    <dxf>
      <font>
        <sz val="26"/>
      </font>
    </dxf>
    <dxf>
      <font>
        <sz val="26"/>
      </font>
    </dxf>
    <dxf>
      <font>
        <sz val="26"/>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z val="36"/>
      </font>
    </dxf>
    <dxf>
      <font>
        <sz val="36"/>
      </font>
    </dxf>
    <dxf>
      <font>
        <sz val="36"/>
      </font>
    </dxf>
    <dxf>
      <font>
        <sz val="36"/>
      </font>
    </dxf>
    <dxf>
      <font>
        <sz val="36"/>
      </font>
    </dxf>
    <dxf>
      <font>
        <sz val="3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36"/>
      </font>
    </dxf>
    <dxf>
      <font>
        <sz val="36"/>
      </font>
    </dxf>
    <dxf>
      <font>
        <sz val="36"/>
      </font>
    </dxf>
    <dxf>
      <font>
        <sz val="36"/>
      </font>
    </dxf>
    <dxf>
      <font>
        <sz val="36"/>
      </font>
    </dxf>
    <dxf>
      <font>
        <sz val="36"/>
      </font>
    </dxf>
    <dxf>
      <font>
        <sz val="36"/>
      </font>
    </dxf>
    <dxf>
      <font>
        <sz val="36"/>
      </font>
    </dxf>
    <dxf>
      <font>
        <sz val="36"/>
      </font>
    </dxf>
    <dxf>
      <font>
        <sz val="3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6"/>
      </font>
    </dxf>
    <dxf>
      <font>
        <sz val="26"/>
      </font>
    </dxf>
    <dxf>
      <font>
        <sz val="26"/>
      </font>
    </dxf>
    <dxf>
      <font>
        <sz val="26"/>
      </font>
    </dxf>
    <dxf>
      <font>
        <sz val="26"/>
      </font>
    </dxf>
    <dxf>
      <font>
        <sz val="2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36"/>
      </font>
    </dxf>
    <dxf>
      <font>
        <sz val="36"/>
      </font>
    </dxf>
    <dxf>
      <font>
        <sz val="36"/>
      </font>
    </dxf>
    <dxf>
      <font>
        <sz val="36"/>
      </font>
    </dxf>
    <dxf>
      <font>
        <sz val="36"/>
      </font>
    </dxf>
    <dxf>
      <font>
        <sz val="3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26"/>
      </font>
    </dxf>
    <dxf>
      <font>
        <sz val="26"/>
      </font>
    </dxf>
    <dxf>
      <font>
        <sz val="26"/>
      </font>
    </dxf>
    <dxf>
      <font>
        <sz val="26"/>
      </font>
    </dxf>
    <dxf>
      <font>
        <sz val="26"/>
      </font>
    </dxf>
    <dxf>
      <font>
        <sz val="2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26"/>
      </font>
    </dxf>
    <dxf>
      <font>
        <sz val="26"/>
      </font>
    </dxf>
    <dxf>
      <font>
        <sz val="26"/>
      </font>
    </dxf>
    <dxf>
      <font>
        <sz val="26"/>
      </font>
    </dxf>
    <dxf>
      <font>
        <sz val="26"/>
      </font>
    </dxf>
    <dxf>
      <font>
        <sz val="2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TABLE!PivotTable1</c:name>
    <c:fmtId val="0"/>
  </c:pivotSource>
  <c:chart>
    <c:autoTitleDeleted val="1"/>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dLbl>
          <c:idx val="0"/>
          <c:layout>
            <c:manualLayout>
              <c:x val="0.15279354584209767"/>
              <c:y val="-0.1505809579351896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dLbl>
          <c:idx val="0"/>
          <c:layout>
            <c:manualLayout>
              <c:x val="-0.20132796628605812"/>
              <c:y val="0.1164492741365466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317500" algn="ctr" rotWithShape="0">
              <a:prstClr val="black">
                <a:alpha val="25000"/>
              </a:prstClr>
            </a:outerShdw>
          </a:effectLst>
        </c:spPr>
        <c:dLbl>
          <c:idx val="0"/>
          <c:layout>
            <c:manualLayout>
              <c:x val="-0.21211339305138269"/>
              <c:y val="-7.027111370308851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439-4152-8E97-407C302A2E5A}"/>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D439-4152-8E97-407C302A2E5A}"/>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439-4152-8E97-407C302A2E5A}"/>
              </c:ext>
            </c:extLst>
          </c:dPt>
          <c:dLbls>
            <c:dLbl>
              <c:idx val="0"/>
              <c:layout>
                <c:manualLayout>
                  <c:x val="0.15279354584209767"/>
                  <c:y val="-0.1505809579351896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39-4152-8E97-407C302A2E5A}"/>
                </c:ext>
              </c:extLst>
            </c:dLbl>
            <c:dLbl>
              <c:idx val="1"/>
              <c:layout>
                <c:manualLayout>
                  <c:x val="-0.20132796628605812"/>
                  <c:y val="0.1164492741365466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439-4152-8E97-407C302A2E5A}"/>
                </c:ext>
              </c:extLst>
            </c:dLbl>
            <c:dLbl>
              <c:idx val="2"/>
              <c:layout>
                <c:manualLayout>
                  <c:x val="-0.21211339305138269"/>
                  <c:y val="-7.02711137030885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39-4152-8E97-407C302A2E5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TABLE'!$A$4:$A$7</c:f>
              <c:strCache>
                <c:ptCount val="3"/>
                <c:pt idx="0">
                  <c:v>Route 1</c:v>
                </c:pt>
                <c:pt idx="1">
                  <c:v>Route 2</c:v>
                </c:pt>
                <c:pt idx="2">
                  <c:v>Route 3</c:v>
                </c:pt>
              </c:strCache>
            </c:strRef>
          </c:cat>
          <c:val>
            <c:numRef>
              <c:f>'PIVOT TABLE'!$B$4:$B$7</c:f>
              <c:numCache>
                <c:formatCode>General</c:formatCode>
                <c:ptCount val="3"/>
                <c:pt idx="0">
                  <c:v>323</c:v>
                </c:pt>
                <c:pt idx="1">
                  <c:v>644</c:v>
                </c:pt>
                <c:pt idx="2">
                  <c:v>343</c:v>
                </c:pt>
              </c:numCache>
            </c:numRef>
          </c:val>
          <c:extLst>
            <c:ext xmlns:c16="http://schemas.microsoft.com/office/drawing/2014/chart" uri="{C3380CC4-5D6E-409C-BE32-E72D297353CC}">
              <c16:uniqueId val="{00000000-D439-4152-8E97-407C302A2E5A}"/>
            </c:ext>
          </c:extLst>
        </c:ser>
        <c:dLbls>
          <c:showLegendKey val="0"/>
          <c:showVal val="1"/>
          <c:showCatName val="0"/>
          <c:showSerName val="0"/>
          <c:showPercent val="0"/>
          <c:showBubbleSize val="0"/>
          <c:showLeaderLines val="1"/>
        </c:dLbls>
        <c:firstSliceAng val="20"/>
        <c:holeSize val="5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TABLE!PivotTable3</c:name>
    <c:fmtId val="0"/>
  </c:pivotSource>
  <c:chart>
    <c:autoTitleDeleted val="1"/>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s>
    <c:plotArea>
      <c:layout>
        <c:manualLayout>
          <c:layoutTarget val="inner"/>
          <c:xMode val="edge"/>
          <c:yMode val="edge"/>
          <c:x val="8.6903676212076758E-2"/>
          <c:y val="4.5867642003797733E-2"/>
          <c:w val="0.87728671740281661"/>
          <c:h val="0.94064187505390884"/>
        </c:manualLayout>
      </c:layout>
      <c:barChart>
        <c:barDir val="bar"/>
        <c:grouping val="clustered"/>
        <c:varyColors val="0"/>
        <c:ser>
          <c:idx val="0"/>
          <c:order val="0"/>
          <c:tx>
            <c:strRef>
              <c:f>'PIVOT TABLE'!$E$3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TABLE'!$D$4:$D$7</c:f>
              <c:strCache>
                <c:ptCount val="3"/>
                <c:pt idx="0">
                  <c:v>Route 1</c:v>
                </c:pt>
                <c:pt idx="1">
                  <c:v>Route 2</c:v>
                </c:pt>
                <c:pt idx="2">
                  <c:v>Route 3</c:v>
                </c:pt>
              </c:strCache>
            </c:strRef>
          </c:cat>
          <c:val>
            <c:numRef>
              <c:f>'PIVOT TABLE'!$E$4:$E$7</c:f>
              <c:numCache>
                <c:formatCode>General</c:formatCode>
                <c:ptCount val="3"/>
                <c:pt idx="0">
                  <c:v>6.1250000000000284</c:v>
                </c:pt>
                <c:pt idx="1">
                  <c:v>14.777777777777791</c:v>
                </c:pt>
                <c:pt idx="2">
                  <c:v>6.5999999999999446</c:v>
                </c:pt>
              </c:numCache>
            </c:numRef>
          </c:val>
          <c:extLst>
            <c:ext xmlns:c16="http://schemas.microsoft.com/office/drawing/2014/chart" uri="{C3380CC4-5D6E-409C-BE32-E72D297353CC}">
              <c16:uniqueId val="{00000000-F719-443F-828A-06CCCA570846}"/>
            </c:ext>
          </c:extLst>
        </c:ser>
        <c:dLbls>
          <c:dLblPos val="outEnd"/>
          <c:showLegendKey val="0"/>
          <c:showVal val="1"/>
          <c:showCatName val="0"/>
          <c:showSerName val="0"/>
          <c:showPercent val="0"/>
          <c:showBubbleSize val="0"/>
        </c:dLbls>
        <c:gapWidth val="326"/>
        <c:overlap val="-58"/>
        <c:axId val="1956819791"/>
        <c:axId val="2026124767"/>
      </c:barChart>
      <c:catAx>
        <c:axId val="1956819791"/>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2026124767"/>
        <c:crosses val="autoZero"/>
        <c:auto val="1"/>
        <c:lblAlgn val="ctr"/>
        <c:lblOffset val="100"/>
        <c:noMultiLvlLbl val="0"/>
      </c:catAx>
      <c:valAx>
        <c:axId val="2026124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1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TABLE!PivotTable4</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84282547205882E-2"/>
          <c:y val="5.7835739282589678E-2"/>
          <c:w val="0.92241571745279416"/>
          <c:h val="0.85556357538641004"/>
        </c:manualLayout>
      </c:layout>
      <c:barChart>
        <c:barDir val="col"/>
        <c:grouping val="clustered"/>
        <c:varyColors val="0"/>
        <c:ser>
          <c:idx val="0"/>
          <c:order val="0"/>
          <c:tx>
            <c:strRef>
              <c:f>'PIVOT TABLE'!$H$3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TABLE'!$G$4:$G$7</c:f>
              <c:strCache>
                <c:ptCount val="3"/>
                <c:pt idx="0">
                  <c:v>Route 1</c:v>
                </c:pt>
                <c:pt idx="1">
                  <c:v>Route 2</c:v>
                </c:pt>
                <c:pt idx="2">
                  <c:v>Route 3</c:v>
                </c:pt>
              </c:strCache>
            </c:strRef>
          </c:cat>
          <c:val>
            <c:numRef>
              <c:f>'PIVOT TABLE'!$H$4:$H$7</c:f>
              <c:numCache>
                <c:formatCode>General</c:formatCode>
                <c:ptCount val="3"/>
                <c:pt idx="0">
                  <c:v>40.375</c:v>
                </c:pt>
                <c:pt idx="1">
                  <c:v>71.555555555555557</c:v>
                </c:pt>
                <c:pt idx="2">
                  <c:v>34.299999999999997</c:v>
                </c:pt>
              </c:numCache>
            </c:numRef>
          </c:val>
          <c:extLst>
            <c:ext xmlns:c16="http://schemas.microsoft.com/office/drawing/2014/chart" uri="{C3380CC4-5D6E-409C-BE32-E72D297353CC}">
              <c16:uniqueId val="{00000000-2894-4DEF-AF71-C558B4304402}"/>
            </c:ext>
          </c:extLst>
        </c:ser>
        <c:dLbls>
          <c:dLblPos val="outEnd"/>
          <c:showLegendKey val="0"/>
          <c:showVal val="1"/>
          <c:showCatName val="0"/>
          <c:showSerName val="0"/>
          <c:showPercent val="0"/>
          <c:showBubbleSize val="0"/>
        </c:dLbls>
        <c:gapWidth val="444"/>
        <c:overlap val="-90"/>
        <c:axId val="1959754559"/>
        <c:axId val="1746968559"/>
      </c:barChart>
      <c:catAx>
        <c:axId val="19597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cap="all" spc="120" normalizeH="0" baseline="0">
                <a:solidFill>
                  <a:sysClr val="windowText" lastClr="000000"/>
                </a:solidFill>
                <a:latin typeface="+mn-lt"/>
                <a:ea typeface="+mn-ea"/>
                <a:cs typeface="+mn-cs"/>
              </a:defRPr>
            </a:pPr>
            <a:endParaRPr lang="en-US"/>
          </a:p>
        </c:txPr>
        <c:crossAx val="1746968559"/>
        <c:crosses val="autoZero"/>
        <c:auto val="1"/>
        <c:lblAlgn val="ctr"/>
        <c:lblOffset val="100"/>
        <c:noMultiLvlLbl val="0"/>
      </c:catAx>
      <c:valAx>
        <c:axId val="1746968559"/>
        <c:scaling>
          <c:orientation val="minMax"/>
        </c:scaling>
        <c:delete val="1"/>
        <c:axPos val="l"/>
        <c:numFmt formatCode="General" sourceLinked="1"/>
        <c:majorTickMark val="none"/>
        <c:minorTickMark val="none"/>
        <c:tickLblPos val="nextTo"/>
        <c:crossAx val="195975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TABLE!PivotTable5</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sz="1600">
                  <a:solidFill>
                    <a:sysClr val="windowText" lastClr="000000"/>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677344599709738E-2"/>
          <c:y val="0.11046976210200847"/>
          <c:w val="0.83380074365704282"/>
          <c:h val="0.8416746864975212"/>
        </c:manualLayout>
      </c:layout>
      <c:bar3DChart>
        <c:barDir val="bar"/>
        <c:grouping val="percentStacked"/>
        <c:varyColors val="0"/>
        <c:ser>
          <c:idx val="0"/>
          <c:order val="0"/>
          <c:tx>
            <c:strRef>
              <c:f>'PIVOT TABLE'!$B$9:$B$10</c:f>
              <c:strCache>
                <c:ptCount val="1"/>
                <c:pt idx="0">
                  <c:v>Normal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BUS01</c:v>
                </c:pt>
                <c:pt idx="1">
                  <c:v>BUS02</c:v>
                </c:pt>
                <c:pt idx="2">
                  <c:v>BUS03</c:v>
                </c:pt>
              </c:strCache>
            </c:strRef>
          </c:cat>
          <c:val>
            <c:numRef>
              <c:f>'PIVOT TABLE'!$B$11:$B$14</c:f>
              <c:numCache>
                <c:formatCode>General</c:formatCode>
                <c:ptCount val="3"/>
                <c:pt idx="0">
                  <c:v>8</c:v>
                </c:pt>
                <c:pt idx="2">
                  <c:v>9</c:v>
                </c:pt>
              </c:numCache>
            </c:numRef>
          </c:val>
          <c:extLst>
            <c:ext xmlns:c16="http://schemas.microsoft.com/office/drawing/2014/chart" uri="{C3380CC4-5D6E-409C-BE32-E72D297353CC}">
              <c16:uniqueId val="{00000002-1BD5-49A0-9B9F-219877CA0DD8}"/>
            </c:ext>
          </c:extLst>
        </c:ser>
        <c:ser>
          <c:idx val="1"/>
          <c:order val="1"/>
          <c:tx>
            <c:strRef>
              <c:f>'PIVOT TABLE'!$C$9:$C$10</c:f>
              <c:strCache>
                <c:ptCount val="1"/>
                <c:pt idx="0">
                  <c:v>Overcrowded</c:v>
                </c:pt>
              </c:strCache>
            </c:strRef>
          </c:tx>
          <c:invertIfNegative val="0"/>
          <c:dLbls>
            <c:spPr>
              <a:noFill/>
              <a:ln>
                <a:noFill/>
              </a:ln>
              <a:effectLst/>
            </c:spPr>
            <c:txPr>
              <a:bodyPr wrap="square" lIns="38100" tIns="19050" rIns="38100" bIns="19050" anchor="ctr">
                <a:spAutoFit/>
              </a:bodyPr>
              <a:lstStyle/>
              <a:p>
                <a:pPr>
                  <a:defRPr sz="1600">
                    <a:solidFill>
                      <a:sysClr val="windowText" lastClr="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TABLE'!$A$11:$A$14</c:f>
              <c:strCache>
                <c:ptCount val="3"/>
                <c:pt idx="0">
                  <c:v>BUS01</c:v>
                </c:pt>
                <c:pt idx="1">
                  <c:v>BUS02</c:v>
                </c:pt>
                <c:pt idx="2">
                  <c:v>BUS03</c:v>
                </c:pt>
              </c:strCache>
            </c:strRef>
          </c:cat>
          <c:val>
            <c:numRef>
              <c:f>'PIVOT TABLE'!$C$11:$C$14</c:f>
              <c:numCache>
                <c:formatCode>General</c:formatCode>
                <c:ptCount val="3"/>
                <c:pt idx="1">
                  <c:v>9</c:v>
                </c:pt>
                <c:pt idx="2">
                  <c:v>1</c:v>
                </c:pt>
              </c:numCache>
            </c:numRef>
          </c:val>
          <c:extLst>
            <c:ext xmlns:c16="http://schemas.microsoft.com/office/drawing/2014/chart" uri="{C3380CC4-5D6E-409C-BE32-E72D297353CC}">
              <c16:uniqueId val="{00000003-1BD5-49A0-9B9F-219877CA0DD8}"/>
            </c:ext>
          </c:extLst>
        </c:ser>
        <c:dLbls>
          <c:showLegendKey val="0"/>
          <c:showVal val="1"/>
          <c:showCatName val="0"/>
          <c:showSerName val="0"/>
          <c:showPercent val="0"/>
          <c:showBubbleSize val="0"/>
        </c:dLbls>
        <c:gapWidth val="150"/>
        <c:shape val="box"/>
        <c:axId val="1957164783"/>
        <c:axId val="1740122255"/>
        <c:axId val="0"/>
      </c:bar3DChart>
      <c:catAx>
        <c:axId val="19571647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740122255"/>
        <c:crosses val="autoZero"/>
        <c:auto val="1"/>
        <c:lblAlgn val="ctr"/>
        <c:lblOffset val="100"/>
        <c:noMultiLvlLbl val="0"/>
      </c:catAx>
      <c:valAx>
        <c:axId val="17401222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957164783"/>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TABLE!PivotTable6</c:name>
    <c:fmtId val="0"/>
  </c:pivotSource>
  <c:chart>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s>
    <c:plotArea>
      <c:layout>
        <c:manualLayout>
          <c:layoutTarget val="inner"/>
          <c:xMode val="edge"/>
          <c:yMode val="edge"/>
          <c:x val="5.9672611448628267E-2"/>
          <c:y val="0"/>
          <c:w val="0.91573863901755359"/>
          <c:h val="0.96613613969221834"/>
        </c:manualLayout>
      </c:layout>
      <c:barChart>
        <c:barDir val="bar"/>
        <c:grouping val="clustered"/>
        <c:varyColors val="0"/>
        <c:ser>
          <c:idx val="0"/>
          <c:order val="0"/>
          <c:tx>
            <c:strRef>
              <c:f>'PIVOT TABLE'!$G$9</c:f>
              <c:strCache>
                <c:ptCount val="1"/>
                <c:pt idx="0">
                  <c:v>Average of Students_Count</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TABLE'!$F$10:$F$13</c:f>
              <c:strCache>
                <c:ptCount val="3"/>
                <c:pt idx="0">
                  <c:v>Route 1</c:v>
                </c:pt>
                <c:pt idx="1">
                  <c:v>Route 2</c:v>
                </c:pt>
                <c:pt idx="2">
                  <c:v>Route 3</c:v>
                </c:pt>
              </c:strCache>
            </c:strRef>
          </c:cat>
          <c:val>
            <c:numRef>
              <c:f>'PIVOT TABLE'!$G$10:$G$13</c:f>
              <c:numCache>
                <c:formatCode>General</c:formatCode>
                <c:ptCount val="3"/>
                <c:pt idx="0">
                  <c:v>40.375</c:v>
                </c:pt>
                <c:pt idx="1">
                  <c:v>71.555555555555557</c:v>
                </c:pt>
                <c:pt idx="2">
                  <c:v>34.299999999999997</c:v>
                </c:pt>
              </c:numCache>
            </c:numRef>
          </c:val>
          <c:extLst>
            <c:ext xmlns:c16="http://schemas.microsoft.com/office/drawing/2014/chart" uri="{C3380CC4-5D6E-409C-BE32-E72D297353CC}">
              <c16:uniqueId val="{00000000-7AE7-46C4-BCF6-2E811580FC2A}"/>
            </c:ext>
          </c:extLst>
        </c:ser>
        <c:ser>
          <c:idx val="1"/>
          <c:order val="1"/>
          <c:tx>
            <c:strRef>
              <c:f>'PIVOT TABLE'!$H$9</c:f>
              <c:strCache>
                <c:ptCount val="1"/>
                <c:pt idx="0">
                  <c:v>Average of Occupancy_%</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Pt>
            <c:idx val="0"/>
            <c:invertIfNegative val="0"/>
            <c:bubble3D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extLst>
              <c:ext xmlns:c16="http://schemas.microsoft.com/office/drawing/2014/chart" uri="{C3380CC4-5D6E-409C-BE32-E72D297353CC}">
                <c16:uniqueId val="{00000003-7AE7-46C4-BCF6-2E811580FC2A}"/>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TABLE'!$F$10:$F$13</c:f>
              <c:strCache>
                <c:ptCount val="3"/>
                <c:pt idx="0">
                  <c:v>Route 1</c:v>
                </c:pt>
                <c:pt idx="1">
                  <c:v>Route 2</c:v>
                </c:pt>
                <c:pt idx="2">
                  <c:v>Route 3</c:v>
                </c:pt>
              </c:strCache>
            </c:strRef>
          </c:cat>
          <c:val>
            <c:numRef>
              <c:f>'PIVOT TABLE'!$H$10:$H$13</c:f>
              <c:numCache>
                <c:formatCode>General</c:formatCode>
                <c:ptCount val="3"/>
                <c:pt idx="0">
                  <c:v>80.75</c:v>
                </c:pt>
                <c:pt idx="1">
                  <c:v>143.11111111111111</c:v>
                </c:pt>
                <c:pt idx="2">
                  <c:v>85.75</c:v>
                </c:pt>
              </c:numCache>
            </c:numRef>
          </c:val>
          <c:extLst>
            <c:ext xmlns:c16="http://schemas.microsoft.com/office/drawing/2014/chart" uri="{C3380CC4-5D6E-409C-BE32-E72D297353CC}">
              <c16:uniqueId val="{00000001-7AE7-46C4-BCF6-2E811580FC2A}"/>
            </c:ext>
          </c:extLst>
        </c:ser>
        <c:ser>
          <c:idx val="2"/>
          <c:order val="2"/>
          <c:tx>
            <c:strRef>
              <c:f>'PIVOT TABLE'!$I$9</c:f>
              <c:strCache>
                <c:ptCount val="1"/>
                <c:pt idx="0">
                  <c:v>Average of Delay_Minutes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TABLE'!$F$10:$F$13</c:f>
              <c:strCache>
                <c:ptCount val="3"/>
                <c:pt idx="0">
                  <c:v>Route 1</c:v>
                </c:pt>
                <c:pt idx="1">
                  <c:v>Route 2</c:v>
                </c:pt>
                <c:pt idx="2">
                  <c:v>Route 3</c:v>
                </c:pt>
              </c:strCache>
            </c:strRef>
          </c:cat>
          <c:val>
            <c:numRef>
              <c:f>'PIVOT TABLE'!$I$10:$I$13</c:f>
              <c:numCache>
                <c:formatCode>General</c:formatCode>
                <c:ptCount val="3"/>
                <c:pt idx="0">
                  <c:v>6.1250000000000284</c:v>
                </c:pt>
                <c:pt idx="1">
                  <c:v>14.777777777777791</c:v>
                </c:pt>
                <c:pt idx="2">
                  <c:v>6.5999999999999446</c:v>
                </c:pt>
              </c:numCache>
            </c:numRef>
          </c:val>
          <c:extLst>
            <c:ext xmlns:c16="http://schemas.microsoft.com/office/drawing/2014/chart" uri="{C3380CC4-5D6E-409C-BE32-E72D297353CC}">
              <c16:uniqueId val="{00000002-7AE7-46C4-BCF6-2E811580FC2A}"/>
            </c:ext>
          </c:extLst>
        </c:ser>
        <c:dLbls>
          <c:showLegendKey val="0"/>
          <c:showVal val="1"/>
          <c:showCatName val="0"/>
          <c:showSerName val="0"/>
          <c:showPercent val="0"/>
          <c:showBubbleSize val="0"/>
        </c:dLbls>
        <c:gapWidth val="326"/>
        <c:overlap val="-58"/>
        <c:axId val="1681412703"/>
        <c:axId val="1748238559"/>
      </c:barChart>
      <c:catAx>
        <c:axId val="168141270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748238559"/>
        <c:crosses val="autoZero"/>
        <c:auto val="1"/>
        <c:lblAlgn val="ctr"/>
        <c:lblOffset val="100"/>
        <c:noMultiLvlLbl val="0"/>
      </c:catAx>
      <c:valAx>
        <c:axId val="174823855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41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TABLE!PivotTable3</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8888888888888892E-2"/>
              <c:y val="-2.1404699262542407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222222222222222"/>
              <c:y val="4.67017015231741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0555555555555556"/>
              <c:y val="-9.34034030463483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0555555555555556"/>
              <c:y val="-9.34034030463483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2222222222222222"/>
              <c:y val="4.670170152317416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8888888888888892E-2"/>
              <c:y val="-2.1404699262542407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pivotFmt>
      <c:pivotFmt>
        <c:idx val="10"/>
        <c:spPr>
          <a:solidFill>
            <a:schemeClr val="accent6">
              <a:alpha val="85000"/>
            </a:schemeClr>
          </a:solidFill>
          <a:ln w="9525" cap="flat" cmpd="sng" algn="ctr">
            <a:solidFill>
              <a:schemeClr val="lt1">
                <a:alpha val="50000"/>
              </a:schemeClr>
            </a:solidFill>
            <a:round/>
          </a:ln>
          <a:effectLst/>
        </c:spPr>
      </c:pivotFmt>
      <c:pivotFmt>
        <c:idx val="11"/>
        <c:spPr>
          <a:solidFill>
            <a:schemeClr val="accent6">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4898546849604793"/>
          <c:y val="0.26824167651539321"/>
          <c:w val="0.81037300337414753"/>
          <c:h val="0.60193600499701172"/>
        </c:manualLayout>
      </c:layout>
      <c:barChart>
        <c:barDir val="bar"/>
        <c:grouping val="clustered"/>
        <c:varyColors val="0"/>
        <c:ser>
          <c:idx val="0"/>
          <c:order val="0"/>
          <c:tx>
            <c:strRef>
              <c:f>'PIVOT TABLE'!$E$3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TABLE'!$D$4:$D$7</c:f>
              <c:strCache>
                <c:ptCount val="3"/>
                <c:pt idx="0">
                  <c:v>Route 1</c:v>
                </c:pt>
                <c:pt idx="1">
                  <c:v>Route 2</c:v>
                </c:pt>
                <c:pt idx="2">
                  <c:v>Route 3</c:v>
                </c:pt>
              </c:strCache>
            </c:strRef>
          </c:cat>
          <c:val>
            <c:numRef>
              <c:f>'PIVOT TABLE'!$E$4:$E$7</c:f>
              <c:numCache>
                <c:formatCode>General</c:formatCode>
                <c:ptCount val="3"/>
                <c:pt idx="0">
                  <c:v>6.1250000000000284</c:v>
                </c:pt>
                <c:pt idx="1">
                  <c:v>14.777777777777791</c:v>
                </c:pt>
                <c:pt idx="2">
                  <c:v>6.5999999999999446</c:v>
                </c:pt>
              </c:numCache>
            </c:numRef>
          </c:val>
          <c:extLst>
            <c:ext xmlns:c16="http://schemas.microsoft.com/office/drawing/2014/chart" uri="{C3380CC4-5D6E-409C-BE32-E72D297353CC}">
              <c16:uniqueId val="{00000003-2385-4EB9-82F3-B4505E42D2A4}"/>
            </c:ext>
          </c:extLst>
        </c:ser>
        <c:dLbls>
          <c:dLblPos val="inEnd"/>
          <c:showLegendKey val="0"/>
          <c:showVal val="1"/>
          <c:showCatName val="0"/>
          <c:showSerName val="0"/>
          <c:showPercent val="0"/>
          <c:showBubbleSize val="0"/>
        </c:dLbls>
        <c:gapWidth val="65"/>
        <c:axId val="1956819791"/>
        <c:axId val="2026124767"/>
      </c:barChart>
      <c:catAx>
        <c:axId val="1956819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6124767"/>
        <c:crosses val="autoZero"/>
        <c:auto val="1"/>
        <c:lblAlgn val="ctr"/>
        <c:lblOffset val="100"/>
        <c:noMultiLvlLbl val="0"/>
      </c:catAx>
      <c:valAx>
        <c:axId val="20261247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5681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TABLE!PivotTable4</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84282547205882E-2"/>
          <c:y val="5.7835739282589678E-2"/>
          <c:w val="0.92241571745279416"/>
          <c:h val="0.85556357538641004"/>
        </c:manualLayout>
      </c:layout>
      <c:barChart>
        <c:barDir val="col"/>
        <c:grouping val="clustered"/>
        <c:varyColors val="0"/>
        <c:ser>
          <c:idx val="0"/>
          <c:order val="0"/>
          <c:tx>
            <c:strRef>
              <c:f>'PIVOT TABLE'!$H$3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TABLE'!$G$4:$G$7</c:f>
              <c:strCache>
                <c:ptCount val="3"/>
                <c:pt idx="0">
                  <c:v>Route 1</c:v>
                </c:pt>
                <c:pt idx="1">
                  <c:v>Route 2</c:v>
                </c:pt>
                <c:pt idx="2">
                  <c:v>Route 3</c:v>
                </c:pt>
              </c:strCache>
            </c:strRef>
          </c:cat>
          <c:val>
            <c:numRef>
              <c:f>'PIVOT TABLE'!$H$4:$H$7</c:f>
              <c:numCache>
                <c:formatCode>General</c:formatCode>
                <c:ptCount val="3"/>
                <c:pt idx="0">
                  <c:v>40.375</c:v>
                </c:pt>
                <c:pt idx="1">
                  <c:v>71.555555555555557</c:v>
                </c:pt>
                <c:pt idx="2">
                  <c:v>34.299999999999997</c:v>
                </c:pt>
              </c:numCache>
            </c:numRef>
          </c:val>
          <c:extLst>
            <c:ext xmlns:c16="http://schemas.microsoft.com/office/drawing/2014/chart" uri="{C3380CC4-5D6E-409C-BE32-E72D297353CC}">
              <c16:uniqueId val="{00000000-6288-4DC1-A3B0-CE55F67B867C}"/>
            </c:ext>
          </c:extLst>
        </c:ser>
        <c:dLbls>
          <c:dLblPos val="inEnd"/>
          <c:showLegendKey val="0"/>
          <c:showVal val="1"/>
          <c:showCatName val="0"/>
          <c:showSerName val="0"/>
          <c:showPercent val="0"/>
          <c:showBubbleSize val="0"/>
        </c:dLbls>
        <c:gapWidth val="41"/>
        <c:axId val="1959754559"/>
        <c:axId val="1746968559"/>
      </c:barChart>
      <c:catAx>
        <c:axId val="195975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46968559"/>
        <c:crosses val="autoZero"/>
        <c:auto val="1"/>
        <c:lblAlgn val="ctr"/>
        <c:lblOffset val="100"/>
        <c:noMultiLvlLbl val="0"/>
      </c:catAx>
      <c:valAx>
        <c:axId val="1746968559"/>
        <c:scaling>
          <c:orientation val="minMax"/>
        </c:scaling>
        <c:delete val="1"/>
        <c:axPos val="l"/>
        <c:numFmt formatCode="General" sourceLinked="1"/>
        <c:majorTickMark val="none"/>
        <c:minorTickMark val="none"/>
        <c:tickLblPos val="nextTo"/>
        <c:crossAx val="195975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[1mini project for excel.xlsx]PIVOT TABLE!PivotTable6</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0925337632079971E-17"/>
              <c:y val="-9.259259259259258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925337632079971E-17"/>
              <c:y val="-9.259259259259258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alpha val="85000"/>
            </a:schemeClr>
          </a:solidFill>
          <a:ln w="9525" cap="flat" cmpd="sng" algn="ctr">
            <a:solidFill>
              <a:schemeClr val="lt1">
                <a:alpha val="50000"/>
              </a:schemeClr>
            </a:solidFill>
            <a:round/>
          </a:ln>
          <a:effectLst/>
        </c:spPr>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TABLE'!$G$9</c:f>
              <c:strCache>
                <c:ptCount val="1"/>
                <c:pt idx="0">
                  <c:v>Average of Students_Count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TABLE'!$F$10:$F$13</c:f>
              <c:strCache>
                <c:ptCount val="3"/>
                <c:pt idx="0">
                  <c:v>Route 1</c:v>
                </c:pt>
                <c:pt idx="1">
                  <c:v>Route 2</c:v>
                </c:pt>
                <c:pt idx="2">
                  <c:v>Route 3</c:v>
                </c:pt>
              </c:strCache>
            </c:strRef>
          </c:cat>
          <c:val>
            <c:numRef>
              <c:f>'PIVOT TABLE'!$G$10:$G$13</c:f>
              <c:numCache>
                <c:formatCode>General</c:formatCode>
                <c:ptCount val="3"/>
                <c:pt idx="0">
                  <c:v>40.375</c:v>
                </c:pt>
                <c:pt idx="1">
                  <c:v>71.555555555555557</c:v>
                </c:pt>
                <c:pt idx="2">
                  <c:v>34.299999999999997</c:v>
                </c:pt>
              </c:numCache>
            </c:numRef>
          </c:val>
          <c:extLst>
            <c:ext xmlns:c16="http://schemas.microsoft.com/office/drawing/2014/chart" uri="{C3380CC4-5D6E-409C-BE32-E72D297353CC}">
              <c16:uniqueId val="{00000000-F029-4849-8ADB-5AF20D6E4812}"/>
            </c:ext>
          </c:extLst>
        </c:ser>
        <c:ser>
          <c:idx val="1"/>
          <c:order val="1"/>
          <c:tx>
            <c:strRef>
              <c:f>'PIVOT TABLE'!$H$9</c:f>
              <c:strCache>
                <c:ptCount val="1"/>
                <c:pt idx="0">
                  <c:v>Average of Occupancy_%</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TABLE'!$F$10:$F$13</c:f>
              <c:strCache>
                <c:ptCount val="3"/>
                <c:pt idx="0">
                  <c:v>Route 1</c:v>
                </c:pt>
                <c:pt idx="1">
                  <c:v>Route 2</c:v>
                </c:pt>
                <c:pt idx="2">
                  <c:v>Route 3</c:v>
                </c:pt>
              </c:strCache>
            </c:strRef>
          </c:cat>
          <c:val>
            <c:numRef>
              <c:f>'PIVOT TABLE'!$H$10:$H$13</c:f>
              <c:numCache>
                <c:formatCode>General</c:formatCode>
                <c:ptCount val="3"/>
                <c:pt idx="0">
                  <c:v>80.75</c:v>
                </c:pt>
                <c:pt idx="1">
                  <c:v>143.11111111111111</c:v>
                </c:pt>
                <c:pt idx="2">
                  <c:v>85.75</c:v>
                </c:pt>
              </c:numCache>
            </c:numRef>
          </c:val>
          <c:extLst>
            <c:ext xmlns:c16="http://schemas.microsoft.com/office/drawing/2014/chart" uri="{C3380CC4-5D6E-409C-BE32-E72D297353CC}">
              <c16:uniqueId val="{00000002-F029-4849-8ADB-5AF20D6E4812}"/>
            </c:ext>
          </c:extLst>
        </c:ser>
        <c:ser>
          <c:idx val="2"/>
          <c:order val="2"/>
          <c:tx>
            <c:strRef>
              <c:f>'PIVOT TABLE'!$I$9</c:f>
              <c:strCache>
                <c:ptCount val="1"/>
                <c:pt idx="0">
                  <c:v>Average of Delay_Minutes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TABLE'!$F$10:$F$13</c:f>
              <c:strCache>
                <c:ptCount val="3"/>
                <c:pt idx="0">
                  <c:v>Route 1</c:v>
                </c:pt>
                <c:pt idx="1">
                  <c:v>Route 2</c:v>
                </c:pt>
                <c:pt idx="2">
                  <c:v>Route 3</c:v>
                </c:pt>
              </c:strCache>
            </c:strRef>
          </c:cat>
          <c:val>
            <c:numRef>
              <c:f>'PIVOT TABLE'!$I$10:$I$13</c:f>
              <c:numCache>
                <c:formatCode>General</c:formatCode>
                <c:ptCount val="3"/>
                <c:pt idx="0">
                  <c:v>6.1250000000000284</c:v>
                </c:pt>
                <c:pt idx="1">
                  <c:v>14.777777777777791</c:v>
                </c:pt>
                <c:pt idx="2">
                  <c:v>6.5999999999999446</c:v>
                </c:pt>
              </c:numCache>
            </c:numRef>
          </c:val>
          <c:extLst>
            <c:ext xmlns:c16="http://schemas.microsoft.com/office/drawing/2014/chart" uri="{C3380CC4-5D6E-409C-BE32-E72D297353CC}">
              <c16:uniqueId val="{00000003-F029-4849-8ADB-5AF20D6E4812}"/>
            </c:ext>
          </c:extLst>
        </c:ser>
        <c:dLbls>
          <c:dLblPos val="inEnd"/>
          <c:showLegendKey val="0"/>
          <c:showVal val="1"/>
          <c:showCatName val="0"/>
          <c:showSerName val="0"/>
          <c:showPercent val="0"/>
          <c:showBubbleSize val="0"/>
        </c:dLbls>
        <c:gapWidth val="65"/>
        <c:axId val="1681412703"/>
        <c:axId val="1748238559"/>
      </c:barChart>
      <c:catAx>
        <c:axId val="16814127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8238559"/>
        <c:crosses val="autoZero"/>
        <c:auto val="1"/>
        <c:lblAlgn val="ctr"/>
        <c:lblOffset val="100"/>
        <c:noMultiLvlLbl val="0"/>
      </c:catAx>
      <c:valAx>
        <c:axId val="17482385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141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6837</xdr:rowOff>
    </xdr:from>
    <xdr:to>
      <xdr:col>2</xdr:col>
      <xdr:colOff>926756</xdr:colOff>
      <xdr:row>28</xdr:row>
      <xdr:rowOff>141088</xdr:rowOff>
    </xdr:to>
    <xdr:graphicFrame macro="">
      <xdr:nvGraphicFramePr>
        <xdr:cNvPr id="2" name="Chart 1">
          <a:extLst>
            <a:ext uri="{FF2B5EF4-FFF2-40B4-BE49-F238E27FC236}">
              <a16:creationId xmlns:a16="http://schemas.microsoft.com/office/drawing/2014/main" id="{52FCA29A-962F-4FC9-9409-7F16D5FA1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1159572</xdr:colOff>
      <xdr:row>14</xdr:row>
      <xdr:rowOff>368048</xdr:rowOff>
    </xdr:from>
    <xdr:to>
      <xdr:col>6</xdr:col>
      <xdr:colOff>307712</xdr:colOff>
      <xdr:row>29</xdr:row>
      <xdr:rowOff>17729</xdr:rowOff>
    </xdr:to>
    <xdr:graphicFrame macro="">
      <xdr:nvGraphicFramePr>
        <xdr:cNvPr id="3" name="Chart 2">
          <a:extLst>
            <a:ext uri="{FF2B5EF4-FFF2-40B4-BE49-F238E27FC236}">
              <a16:creationId xmlns:a16="http://schemas.microsoft.com/office/drawing/2014/main" id="{28E04AAF-E8A7-44B7-9218-F0C993A23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563197</xdr:colOff>
      <xdr:row>15</xdr:row>
      <xdr:rowOff>0</xdr:rowOff>
    </xdr:from>
    <xdr:to>
      <xdr:col>8</xdr:col>
      <xdr:colOff>587268</xdr:colOff>
      <xdr:row>28</xdr:row>
      <xdr:rowOff>288406</xdr:rowOff>
    </xdr:to>
    <xdr:graphicFrame macro="">
      <xdr:nvGraphicFramePr>
        <xdr:cNvPr id="4" name="Chart 3">
          <a:extLst>
            <a:ext uri="{FF2B5EF4-FFF2-40B4-BE49-F238E27FC236}">
              <a16:creationId xmlns:a16="http://schemas.microsoft.com/office/drawing/2014/main" id="{EA46DEE8-4372-4E44-9487-398A7ED35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793549</xdr:colOff>
      <xdr:row>15</xdr:row>
      <xdr:rowOff>27512</xdr:rowOff>
    </xdr:from>
    <xdr:to>
      <xdr:col>11</xdr:col>
      <xdr:colOff>994734</xdr:colOff>
      <xdr:row>28</xdr:row>
      <xdr:rowOff>207153</xdr:rowOff>
    </xdr:to>
    <xdr:graphicFrame macro="">
      <xdr:nvGraphicFramePr>
        <xdr:cNvPr id="5" name="Chart 4">
          <a:extLst>
            <a:ext uri="{FF2B5EF4-FFF2-40B4-BE49-F238E27FC236}">
              <a16:creationId xmlns:a16="http://schemas.microsoft.com/office/drawing/2014/main" id="{50123BE4-5394-4E81-8CFE-8225EFA57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1357482</xdr:colOff>
      <xdr:row>15</xdr:row>
      <xdr:rowOff>82481</xdr:rowOff>
    </xdr:from>
    <xdr:to>
      <xdr:col>15</xdr:col>
      <xdr:colOff>1530246</xdr:colOff>
      <xdr:row>28</xdr:row>
      <xdr:rowOff>195385</xdr:rowOff>
    </xdr:to>
    <xdr:graphicFrame macro="">
      <xdr:nvGraphicFramePr>
        <xdr:cNvPr id="6" name="Chart 5">
          <a:extLst>
            <a:ext uri="{FF2B5EF4-FFF2-40B4-BE49-F238E27FC236}">
              <a16:creationId xmlns:a16="http://schemas.microsoft.com/office/drawing/2014/main" id="{1A57FA15-61C0-4763-8FEB-4A8C947B1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438150</xdr:colOff>
      <xdr:row>0</xdr:row>
      <xdr:rowOff>180975</xdr:rowOff>
    </xdr:from>
    <xdr:to>
      <xdr:col>16</xdr:col>
      <xdr:colOff>552450</xdr:colOff>
      <xdr:row>3</xdr:row>
      <xdr:rowOff>66675</xdr:rowOff>
    </xdr:to>
    <xdr:sp macro="" textlink="">
      <xdr:nvSpPr>
        <xdr:cNvPr id="21" name="TextBox 20">
          <a:extLst>
            <a:ext uri="{FF2B5EF4-FFF2-40B4-BE49-F238E27FC236}">
              <a16:creationId xmlns:a16="http://schemas.microsoft.com/office/drawing/2014/main" id="{EBF730D1-E32A-4E22-BEDA-8E95C12C54A2}"/>
            </a:ext>
          </a:extLst>
        </xdr:cNvPr>
        <xdr:cNvSpPr txBox="1"/>
      </xdr:nvSpPr>
      <xdr:spPr>
        <a:xfrm>
          <a:off x="4095750" y="180975"/>
          <a:ext cx="62103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solidFill>
              <a:schemeClr val="accent6">
                <a:lumMod val="50000"/>
              </a:schemeClr>
            </a:solidFill>
          </a:endParaRPr>
        </a:p>
      </xdr:txBody>
    </xdr:sp>
    <xdr:clientData/>
  </xdr:twoCellAnchor>
  <xdr:oneCellAnchor>
    <xdr:from>
      <xdr:col>6</xdr:col>
      <xdr:colOff>85618</xdr:colOff>
      <xdr:row>30</xdr:row>
      <xdr:rowOff>74916</xdr:rowOff>
    </xdr:from>
    <xdr:ext cx="184731" cy="264560"/>
    <xdr:sp macro="" textlink="">
      <xdr:nvSpPr>
        <xdr:cNvPr id="5" name="TextBox 4">
          <a:extLst>
            <a:ext uri="{FF2B5EF4-FFF2-40B4-BE49-F238E27FC236}">
              <a16:creationId xmlns:a16="http://schemas.microsoft.com/office/drawing/2014/main" id="{E1C70005-4AB2-43AC-A4AE-EE440D737F7D}"/>
            </a:ext>
          </a:extLst>
        </xdr:cNvPr>
        <xdr:cNvSpPr txBox="1"/>
      </xdr:nvSpPr>
      <xdr:spPr>
        <a:xfrm>
          <a:off x="3745787" y="5854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379285</xdr:colOff>
      <xdr:row>0</xdr:row>
      <xdr:rowOff>107830</xdr:rowOff>
    </xdr:from>
    <xdr:to>
      <xdr:col>27</xdr:col>
      <xdr:colOff>438867</xdr:colOff>
      <xdr:row>48</xdr:row>
      <xdr:rowOff>124706</xdr:rowOff>
    </xdr:to>
    <xdr:grpSp>
      <xdr:nvGrpSpPr>
        <xdr:cNvPr id="19" name="Group 18">
          <a:extLst>
            <a:ext uri="{FF2B5EF4-FFF2-40B4-BE49-F238E27FC236}">
              <a16:creationId xmlns:a16="http://schemas.microsoft.com/office/drawing/2014/main" id="{68C86958-1536-4D74-883E-B5B76EB9F44D}"/>
            </a:ext>
          </a:extLst>
        </xdr:cNvPr>
        <xdr:cNvGrpSpPr/>
      </xdr:nvGrpSpPr>
      <xdr:grpSpPr>
        <a:xfrm>
          <a:off x="4680898" y="107830"/>
          <a:ext cx="12349904" cy="8865908"/>
          <a:chOff x="0" y="36635"/>
          <a:chExt cx="12285702" cy="8887921"/>
        </a:xfrm>
      </xdr:grpSpPr>
      <xdr:sp macro="" textlink="">
        <xdr:nvSpPr>
          <xdr:cNvPr id="2" name="Rectangle: Rounded Corners 1">
            <a:extLst>
              <a:ext uri="{FF2B5EF4-FFF2-40B4-BE49-F238E27FC236}">
                <a16:creationId xmlns:a16="http://schemas.microsoft.com/office/drawing/2014/main" id="{BD5C49EC-1D11-4F0F-8703-4E9A1A3C807A}"/>
              </a:ext>
            </a:extLst>
          </xdr:cNvPr>
          <xdr:cNvSpPr/>
        </xdr:nvSpPr>
        <xdr:spPr>
          <a:xfrm>
            <a:off x="6536272" y="1980912"/>
            <a:ext cx="5738519" cy="211675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 name="Group 9">
            <a:extLst>
              <a:ext uri="{FF2B5EF4-FFF2-40B4-BE49-F238E27FC236}">
                <a16:creationId xmlns:a16="http://schemas.microsoft.com/office/drawing/2014/main" id="{D14F6AF1-4875-452E-9382-B1A2D0372F10}"/>
              </a:ext>
            </a:extLst>
          </xdr:cNvPr>
          <xdr:cNvGrpSpPr/>
        </xdr:nvGrpSpPr>
        <xdr:grpSpPr>
          <a:xfrm>
            <a:off x="0" y="981217"/>
            <a:ext cx="2911949" cy="1019317"/>
            <a:chOff x="0" y="1152524"/>
            <a:chExt cx="2905125" cy="904876"/>
          </a:xfrm>
        </xdr:grpSpPr>
        <xdr:sp macro="" textlink="">
          <xdr:nvSpPr>
            <xdr:cNvPr id="40" name="Rectangle: Rounded Corners 39">
              <a:extLst>
                <a:ext uri="{FF2B5EF4-FFF2-40B4-BE49-F238E27FC236}">
                  <a16:creationId xmlns:a16="http://schemas.microsoft.com/office/drawing/2014/main" id="{D767DFE7-4D8A-46F2-98A7-4D8C642E25F5}"/>
                </a:ext>
              </a:extLst>
            </xdr:cNvPr>
            <xdr:cNvSpPr/>
          </xdr:nvSpPr>
          <xdr:spPr>
            <a:xfrm>
              <a:off x="0" y="1152524"/>
              <a:ext cx="2905125" cy="8858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k</a:t>
              </a:r>
            </a:p>
          </xdr:txBody>
        </xdr:sp>
        <xdr:sp macro="" textlink="">
          <xdr:nvSpPr>
            <xdr:cNvPr id="42" name="Rectangle: Rounded Corners 41">
              <a:extLst>
                <a:ext uri="{FF2B5EF4-FFF2-40B4-BE49-F238E27FC236}">
                  <a16:creationId xmlns:a16="http://schemas.microsoft.com/office/drawing/2014/main" id="{CE0DB979-2FA4-418C-9B43-032B5F8E706D}"/>
                </a:ext>
              </a:extLst>
            </xdr:cNvPr>
            <xdr:cNvSpPr/>
          </xdr:nvSpPr>
          <xdr:spPr>
            <a:xfrm>
              <a:off x="1" y="1162050"/>
              <a:ext cx="819149" cy="89535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4" name="TextBox 3">
              <a:extLst>
                <a:ext uri="{FF2B5EF4-FFF2-40B4-BE49-F238E27FC236}">
                  <a16:creationId xmlns:a16="http://schemas.microsoft.com/office/drawing/2014/main" id="{E8B7AE1D-A420-4B1D-AB6D-958D39CC0F65}"/>
                </a:ext>
              </a:extLst>
            </xdr:cNvPr>
            <xdr:cNvSpPr txBox="1"/>
          </xdr:nvSpPr>
          <xdr:spPr>
            <a:xfrm>
              <a:off x="1114424" y="1228725"/>
              <a:ext cx="11144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accent6">
                      <a:lumMod val="75000"/>
                    </a:schemeClr>
                  </a:solidFill>
                </a:rPr>
                <a:t>TOTAL</a:t>
              </a:r>
              <a:r>
                <a:rPr lang="en-IN" sz="1200" baseline="0">
                  <a:solidFill>
                    <a:schemeClr val="accent6">
                      <a:lumMod val="75000"/>
                    </a:schemeClr>
                  </a:solidFill>
                </a:rPr>
                <a:t> </a:t>
              </a:r>
              <a:r>
                <a:rPr lang="en-IN" sz="1200" b="1" baseline="0">
                  <a:solidFill>
                    <a:schemeClr val="accent6">
                      <a:lumMod val="75000"/>
                    </a:schemeClr>
                  </a:solidFill>
                </a:rPr>
                <a:t>TRIPS</a:t>
              </a:r>
              <a:endParaRPr lang="en-IN" sz="1200" b="1">
                <a:solidFill>
                  <a:schemeClr val="accent6">
                    <a:lumMod val="75000"/>
                  </a:schemeClr>
                </a:solidFill>
              </a:endParaRPr>
            </a:p>
          </xdr:txBody>
        </xdr:sp>
        <xdr:sp macro="" textlink="DATASET!P8">
          <xdr:nvSpPr>
            <xdr:cNvPr id="7" name="TextBox 6">
              <a:extLst>
                <a:ext uri="{FF2B5EF4-FFF2-40B4-BE49-F238E27FC236}">
                  <a16:creationId xmlns:a16="http://schemas.microsoft.com/office/drawing/2014/main" id="{DB129A09-840E-4792-B8AE-D0E016B69B16}"/>
                </a:ext>
              </a:extLst>
            </xdr:cNvPr>
            <xdr:cNvSpPr txBox="1"/>
          </xdr:nvSpPr>
          <xdr:spPr>
            <a:xfrm>
              <a:off x="1428750" y="1552575"/>
              <a:ext cx="12668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1DDE09F-B2C4-45BE-8B9F-AD57A297333B}" type="TxLink">
                <a:rPr lang="en-US" sz="1600" b="1" i="0" u="none" strike="noStrike">
                  <a:solidFill>
                    <a:schemeClr val="accent6">
                      <a:lumMod val="75000"/>
                    </a:schemeClr>
                  </a:solidFill>
                  <a:latin typeface="Calibri"/>
                  <a:ea typeface="Calibri"/>
                  <a:cs typeface="Calibri"/>
                </a:rPr>
                <a:pPr algn="l"/>
                <a:t>27</a:t>
              </a:fld>
              <a:endParaRPr lang="en-IN" sz="1600" b="1">
                <a:solidFill>
                  <a:schemeClr val="accent6">
                    <a:lumMod val="75000"/>
                  </a:schemeClr>
                </a:solidFill>
              </a:endParaRPr>
            </a:p>
          </xdr:txBody>
        </xdr:sp>
      </xdr:grpSp>
      <xdr:grpSp>
        <xdr:nvGrpSpPr>
          <xdr:cNvPr id="74" name="Group 73">
            <a:extLst>
              <a:ext uri="{FF2B5EF4-FFF2-40B4-BE49-F238E27FC236}">
                <a16:creationId xmlns:a16="http://schemas.microsoft.com/office/drawing/2014/main" id="{D61E0D5C-97FD-41D2-AD3F-885E121E1D37}"/>
              </a:ext>
            </a:extLst>
          </xdr:cNvPr>
          <xdr:cNvGrpSpPr/>
        </xdr:nvGrpSpPr>
        <xdr:grpSpPr>
          <a:xfrm>
            <a:off x="6082780" y="990742"/>
            <a:ext cx="3018430" cy="1009792"/>
            <a:chOff x="0" y="1152524"/>
            <a:chExt cx="2905125" cy="904876"/>
          </a:xfrm>
        </xdr:grpSpPr>
        <xdr:sp macro="" textlink="">
          <xdr:nvSpPr>
            <xdr:cNvPr id="75" name="Rectangle: Rounded Corners 74">
              <a:extLst>
                <a:ext uri="{FF2B5EF4-FFF2-40B4-BE49-F238E27FC236}">
                  <a16:creationId xmlns:a16="http://schemas.microsoft.com/office/drawing/2014/main" id="{54B8295A-BECC-4DAA-9275-125FB52EEFA2}"/>
                </a:ext>
              </a:extLst>
            </xdr:cNvPr>
            <xdr:cNvSpPr/>
          </xdr:nvSpPr>
          <xdr:spPr>
            <a:xfrm>
              <a:off x="0" y="1152524"/>
              <a:ext cx="2905125" cy="8858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k</a:t>
              </a:r>
            </a:p>
          </xdr:txBody>
        </xdr:sp>
        <xdr:sp macro="" textlink="">
          <xdr:nvSpPr>
            <xdr:cNvPr id="76" name="Rectangle: Rounded Corners 75">
              <a:extLst>
                <a:ext uri="{FF2B5EF4-FFF2-40B4-BE49-F238E27FC236}">
                  <a16:creationId xmlns:a16="http://schemas.microsoft.com/office/drawing/2014/main" id="{8DA2FCDE-110C-459C-98D9-0032D2F1BBA2}"/>
                </a:ext>
              </a:extLst>
            </xdr:cNvPr>
            <xdr:cNvSpPr/>
          </xdr:nvSpPr>
          <xdr:spPr>
            <a:xfrm>
              <a:off x="1" y="1162050"/>
              <a:ext cx="819149" cy="89535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77" name="TextBox 76">
              <a:extLst>
                <a:ext uri="{FF2B5EF4-FFF2-40B4-BE49-F238E27FC236}">
                  <a16:creationId xmlns:a16="http://schemas.microsoft.com/office/drawing/2014/main" id="{AD17E3E2-CBD1-4CD0-8CBF-BF2C92B98BBD}"/>
                </a:ext>
              </a:extLst>
            </xdr:cNvPr>
            <xdr:cNvSpPr txBox="1"/>
          </xdr:nvSpPr>
          <xdr:spPr>
            <a:xfrm>
              <a:off x="1114424" y="1228725"/>
              <a:ext cx="16764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accent6">
                      <a:lumMod val="75000"/>
                    </a:schemeClr>
                  </a:solidFill>
                </a:rPr>
                <a:t>AVERAGE</a:t>
              </a:r>
              <a:r>
                <a:rPr lang="en-IN" sz="1200" b="1" baseline="0">
                  <a:solidFill>
                    <a:schemeClr val="accent6">
                      <a:lumMod val="75000"/>
                    </a:schemeClr>
                  </a:solidFill>
                </a:rPr>
                <a:t> DELAY</a:t>
              </a:r>
              <a:endParaRPr lang="en-IN" sz="1200" b="1">
                <a:solidFill>
                  <a:schemeClr val="accent6">
                    <a:lumMod val="75000"/>
                  </a:schemeClr>
                </a:solidFill>
              </a:endParaRPr>
            </a:p>
          </xdr:txBody>
        </xdr:sp>
        <xdr:sp macro="" textlink="DATASET!P12">
          <xdr:nvSpPr>
            <xdr:cNvPr id="78" name="TextBox 77">
              <a:extLst>
                <a:ext uri="{FF2B5EF4-FFF2-40B4-BE49-F238E27FC236}">
                  <a16:creationId xmlns:a16="http://schemas.microsoft.com/office/drawing/2014/main" id="{6EA4E75F-DBAE-4FC8-9B68-7BE5D2EAD41A}"/>
                </a:ext>
              </a:extLst>
            </xdr:cNvPr>
            <xdr:cNvSpPr txBox="1"/>
          </xdr:nvSpPr>
          <xdr:spPr>
            <a:xfrm>
              <a:off x="1428751" y="1552575"/>
              <a:ext cx="61912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FD47B45-25E8-43FE-986A-CABB3B1FFE5A}" type="TxLink">
                <a:rPr lang="en-US" sz="1600" b="1" i="0" u="none" strike="noStrike">
                  <a:solidFill>
                    <a:schemeClr val="accent6">
                      <a:lumMod val="75000"/>
                    </a:schemeClr>
                  </a:solidFill>
                  <a:latin typeface="Calibri"/>
                  <a:ea typeface="Calibri"/>
                  <a:cs typeface="Calibri"/>
                </a:rPr>
                <a:pPr algn="l"/>
                <a:t>9.18</a:t>
              </a:fld>
              <a:endParaRPr lang="en-IN" sz="1600" b="1">
                <a:solidFill>
                  <a:schemeClr val="accent6">
                    <a:lumMod val="75000"/>
                  </a:schemeClr>
                </a:solidFill>
              </a:endParaRPr>
            </a:p>
          </xdr:txBody>
        </xdr:sp>
      </xdr:grpSp>
      <xdr:grpSp>
        <xdr:nvGrpSpPr>
          <xdr:cNvPr id="79" name="Group 78">
            <a:extLst>
              <a:ext uri="{FF2B5EF4-FFF2-40B4-BE49-F238E27FC236}">
                <a16:creationId xmlns:a16="http://schemas.microsoft.com/office/drawing/2014/main" id="{9112FAAD-B7C5-4636-B91C-70B325BB1BF8}"/>
              </a:ext>
            </a:extLst>
          </xdr:cNvPr>
          <xdr:cNvGrpSpPr/>
        </xdr:nvGrpSpPr>
        <xdr:grpSpPr>
          <a:xfrm>
            <a:off x="9169591" y="971692"/>
            <a:ext cx="3085835" cy="1028842"/>
            <a:chOff x="0" y="1152524"/>
            <a:chExt cx="2905125" cy="904876"/>
          </a:xfrm>
        </xdr:grpSpPr>
        <xdr:sp macro="" textlink="">
          <xdr:nvSpPr>
            <xdr:cNvPr id="80" name="Rectangle: Rounded Corners 79">
              <a:extLst>
                <a:ext uri="{FF2B5EF4-FFF2-40B4-BE49-F238E27FC236}">
                  <a16:creationId xmlns:a16="http://schemas.microsoft.com/office/drawing/2014/main" id="{342756AA-4003-4540-9836-D1C03CFAFC84}"/>
                </a:ext>
              </a:extLst>
            </xdr:cNvPr>
            <xdr:cNvSpPr/>
          </xdr:nvSpPr>
          <xdr:spPr>
            <a:xfrm>
              <a:off x="0" y="1152524"/>
              <a:ext cx="2905125" cy="8858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k</a:t>
              </a:r>
            </a:p>
          </xdr:txBody>
        </xdr:sp>
        <xdr:sp macro="" textlink="">
          <xdr:nvSpPr>
            <xdr:cNvPr id="81" name="Rectangle: Rounded Corners 80">
              <a:extLst>
                <a:ext uri="{FF2B5EF4-FFF2-40B4-BE49-F238E27FC236}">
                  <a16:creationId xmlns:a16="http://schemas.microsoft.com/office/drawing/2014/main" id="{6A4A88B9-0667-4650-BBEE-5EA70DA36773}"/>
                </a:ext>
              </a:extLst>
            </xdr:cNvPr>
            <xdr:cNvSpPr/>
          </xdr:nvSpPr>
          <xdr:spPr>
            <a:xfrm>
              <a:off x="1" y="1162050"/>
              <a:ext cx="819149" cy="89535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82" name="TextBox 81">
              <a:extLst>
                <a:ext uri="{FF2B5EF4-FFF2-40B4-BE49-F238E27FC236}">
                  <a16:creationId xmlns:a16="http://schemas.microsoft.com/office/drawing/2014/main" id="{A4711B6F-1AA2-40DE-9477-5667F37124C4}"/>
                </a:ext>
              </a:extLst>
            </xdr:cNvPr>
            <xdr:cNvSpPr txBox="1"/>
          </xdr:nvSpPr>
          <xdr:spPr>
            <a:xfrm>
              <a:off x="1114424" y="1228725"/>
              <a:ext cx="169545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accent6">
                      <a:lumMod val="75000"/>
                    </a:schemeClr>
                  </a:solidFill>
                </a:rPr>
                <a:t>OVER CROWDED TRIPS</a:t>
              </a:r>
            </a:p>
          </xdr:txBody>
        </xdr:sp>
        <xdr:sp macro="" textlink="DATASET!P14">
          <xdr:nvSpPr>
            <xdr:cNvPr id="83" name="TextBox 82">
              <a:extLst>
                <a:ext uri="{FF2B5EF4-FFF2-40B4-BE49-F238E27FC236}">
                  <a16:creationId xmlns:a16="http://schemas.microsoft.com/office/drawing/2014/main" id="{022BE9EE-493E-4087-B89E-E5BAAEC199BD}"/>
                </a:ext>
              </a:extLst>
            </xdr:cNvPr>
            <xdr:cNvSpPr txBox="1"/>
          </xdr:nvSpPr>
          <xdr:spPr>
            <a:xfrm>
              <a:off x="1666875" y="1552575"/>
              <a:ext cx="10287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FD64003-EAFF-44AE-A37C-8A1B58801602}" type="TxLink">
                <a:rPr lang="en-US" sz="1600" b="1" i="0" u="none" strike="noStrike">
                  <a:solidFill>
                    <a:schemeClr val="accent6">
                      <a:lumMod val="75000"/>
                    </a:schemeClr>
                  </a:solidFill>
                  <a:latin typeface="Calibri"/>
                  <a:ea typeface="Calibri"/>
                  <a:cs typeface="Calibri"/>
                </a:rPr>
                <a:pPr algn="l"/>
                <a:t>10</a:t>
              </a:fld>
              <a:endParaRPr lang="en-IN" sz="1600" b="1">
                <a:solidFill>
                  <a:schemeClr val="accent6">
                    <a:lumMod val="75000"/>
                  </a:schemeClr>
                </a:solidFill>
              </a:endParaRPr>
            </a:p>
          </xdr:txBody>
        </xdr:sp>
      </xdr:grpSp>
      <xdr:pic>
        <xdr:nvPicPr>
          <xdr:cNvPr id="12" name="Graphic 11" descr="Bus">
            <a:extLst>
              <a:ext uri="{FF2B5EF4-FFF2-40B4-BE49-F238E27FC236}">
                <a16:creationId xmlns:a16="http://schemas.microsoft.com/office/drawing/2014/main" id="{EF31921D-BED7-43A0-ABD6-DCBA477FD6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0381" y="1204131"/>
            <a:ext cx="525699" cy="653528"/>
          </a:xfrm>
          <a:prstGeom prst="rect">
            <a:avLst/>
          </a:prstGeom>
        </xdr:spPr>
      </xdr:pic>
      <xdr:pic>
        <xdr:nvPicPr>
          <xdr:cNvPr id="14" name="Graphic 13" descr="Clock">
            <a:extLst>
              <a:ext uri="{FF2B5EF4-FFF2-40B4-BE49-F238E27FC236}">
                <a16:creationId xmlns:a16="http://schemas.microsoft.com/office/drawing/2014/main" id="{72867FF7-7A61-4E93-8378-2853BAC73C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301160" y="1270806"/>
            <a:ext cx="642281" cy="513940"/>
          </a:xfrm>
          <a:prstGeom prst="rect">
            <a:avLst/>
          </a:prstGeom>
        </xdr:spPr>
      </xdr:pic>
      <xdr:pic>
        <xdr:nvPicPr>
          <xdr:cNvPr id="18" name="Graphic 17" descr="High temperature">
            <a:extLst>
              <a:ext uri="{FF2B5EF4-FFF2-40B4-BE49-F238E27FC236}">
                <a16:creationId xmlns:a16="http://schemas.microsoft.com/office/drawing/2014/main" id="{BF25909A-74CD-4AE3-A091-230C307E155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417239" y="1185081"/>
            <a:ext cx="563681" cy="592540"/>
          </a:xfrm>
          <a:prstGeom prst="rect">
            <a:avLst/>
          </a:prstGeom>
        </xdr:spPr>
      </xdr:pic>
      <xdr:grpSp>
        <xdr:nvGrpSpPr>
          <xdr:cNvPr id="24" name="Group 23">
            <a:extLst>
              <a:ext uri="{FF2B5EF4-FFF2-40B4-BE49-F238E27FC236}">
                <a16:creationId xmlns:a16="http://schemas.microsoft.com/office/drawing/2014/main" id="{5BAD2ACA-F004-485A-803E-7FF01DE386C1}"/>
              </a:ext>
            </a:extLst>
          </xdr:cNvPr>
          <xdr:cNvGrpSpPr/>
        </xdr:nvGrpSpPr>
        <xdr:grpSpPr>
          <a:xfrm>
            <a:off x="2997674" y="971692"/>
            <a:ext cx="3008905" cy="1028842"/>
            <a:chOff x="3086100" y="1152524"/>
            <a:chExt cx="2905125" cy="904876"/>
          </a:xfrm>
        </xdr:grpSpPr>
        <xdr:grpSp>
          <xdr:nvGrpSpPr>
            <xdr:cNvPr id="69" name="Group 68">
              <a:extLst>
                <a:ext uri="{FF2B5EF4-FFF2-40B4-BE49-F238E27FC236}">
                  <a16:creationId xmlns:a16="http://schemas.microsoft.com/office/drawing/2014/main" id="{63EC4908-AD06-4D20-AC03-8A9A724B1285}"/>
                </a:ext>
              </a:extLst>
            </xdr:cNvPr>
            <xdr:cNvGrpSpPr/>
          </xdr:nvGrpSpPr>
          <xdr:grpSpPr>
            <a:xfrm>
              <a:off x="3086100" y="1152524"/>
              <a:ext cx="2905125" cy="904876"/>
              <a:chOff x="0" y="1152524"/>
              <a:chExt cx="2905125" cy="904876"/>
            </a:xfrm>
          </xdr:grpSpPr>
          <xdr:sp macro="" textlink="">
            <xdr:nvSpPr>
              <xdr:cNvPr id="70" name="Rectangle: Rounded Corners 69">
                <a:extLst>
                  <a:ext uri="{FF2B5EF4-FFF2-40B4-BE49-F238E27FC236}">
                    <a16:creationId xmlns:a16="http://schemas.microsoft.com/office/drawing/2014/main" id="{1BB83176-F975-4A87-B09D-910D28B0172F}"/>
                  </a:ext>
                </a:extLst>
              </xdr:cNvPr>
              <xdr:cNvSpPr/>
            </xdr:nvSpPr>
            <xdr:spPr>
              <a:xfrm>
                <a:off x="0" y="1152524"/>
                <a:ext cx="2905125" cy="8858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k</a:t>
                </a:r>
              </a:p>
            </xdr:txBody>
          </xdr:sp>
          <xdr:sp macro="" textlink="">
            <xdr:nvSpPr>
              <xdr:cNvPr id="71" name="Rectangle: Rounded Corners 70">
                <a:extLst>
                  <a:ext uri="{FF2B5EF4-FFF2-40B4-BE49-F238E27FC236}">
                    <a16:creationId xmlns:a16="http://schemas.microsoft.com/office/drawing/2014/main" id="{D54DF1A4-BBEA-4648-891F-8DCF8DBCF38F}"/>
                  </a:ext>
                </a:extLst>
              </xdr:cNvPr>
              <xdr:cNvSpPr/>
            </xdr:nvSpPr>
            <xdr:spPr>
              <a:xfrm>
                <a:off x="1" y="1162050"/>
                <a:ext cx="819149" cy="89535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72" name="TextBox 71">
                <a:extLst>
                  <a:ext uri="{FF2B5EF4-FFF2-40B4-BE49-F238E27FC236}">
                    <a16:creationId xmlns:a16="http://schemas.microsoft.com/office/drawing/2014/main" id="{BA3D5427-6CA7-4067-8176-CC26108E6B86}"/>
                  </a:ext>
                </a:extLst>
              </xdr:cNvPr>
              <xdr:cNvSpPr txBox="1"/>
            </xdr:nvSpPr>
            <xdr:spPr>
              <a:xfrm>
                <a:off x="1114424" y="1228725"/>
                <a:ext cx="169545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accent6">
                        <a:lumMod val="75000"/>
                      </a:schemeClr>
                    </a:solidFill>
                  </a:rPr>
                  <a:t>TOTAL</a:t>
                </a:r>
                <a:r>
                  <a:rPr lang="en-IN" sz="1200" baseline="0">
                    <a:solidFill>
                      <a:schemeClr val="accent6">
                        <a:lumMod val="75000"/>
                      </a:schemeClr>
                    </a:solidFill>
                  </a:rPr>
                  <a:t> </a:t>
                </a:r>
                <a:r>
                  <a:rPr lang="en-IN" sz="1200" b="1" baseline="0">
                    <a:solidFill>
                      <a:schemeClr val="accent6">
                        <a:lumMod val="75000"/>
                      </a:schemeClr>
                    </a:solidFill>
                  </a:rPr>
                  <a:t>STUDENTS</a:t>
                </a:r>
                <a:endParaRPr lang="en-IN" sz="1200" b="1">
                  <a:solidFill>
                    <a:schemeClr val="accent6">
                      <a:lumMod val="75000"/>
                    </a:schemeClr>
                  </a:solidFill>
                </a:endParaRPr>
              </a:p>
            </xdr:txBody>
          </xdr:sp>
          <xdr:sp macro="" textlink="DATASET!P10">
            <xdr:nvSpPr>
              <xdr:cNvPr id="73" name="TextBox 72">
                <a:extLst>
                  <a:ext uri="{FF2B5EF4-FFF2-40B4-BE49-F238E27FC236}">
                    <a16:creationId xmlns:a16="http://schemas.microsoft.com/office/drawing/2014/main" id="{B002B80F-C897-4C3E-B52B-0C484F95C2DE}"/>
                  </a:ext>
                </a:extLst>
              </xdr:cNvPr>
              <xdr:cNvSpPr txBox="1"/>
            </xdr:nvSpPr>
            <xdr:spPr>
              <a:xfrm>
                <a:off x="1428750" y="1552575"/>
                <a:ext cx="12668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5984A39-4A8D-4DD6-9ABF-9CE26100E5A5}" type="TxLink">
                  <a:rPr lang="en-US" sz="1600" b="1" i="0" u="none" strike="noStrike">
                    <a:solidFill>
                      <a:schemeClr val="accent6">
                        <a:lumMod val="75000"/>
                      </a:schemeClr>
                    </a:solidFill>
                    <a:latin typeface="Calibri"/>
                    <a:ea typeface="Calibri"/>
                    <a:cs typeface="Calibri"/>
                  </a:rPr>
                  <a:pPr algn="l"/>
                  <a:t>1310</a:t>
                </a:fld>
                <a:endParaRPr lang="en-IN" sz="1600" b="1">
                  <a:solidFill>
                    <a:schemeClr val="accent6">
                      <a:lumMod val="75000"/>
                    </a:schemeClr>
                  </a:solidFill>
                </a:endParaRPr>
              </a:p>
            </xdr:txBody>
          </xdr:sp>
        </xdr:grpSp>
        <xdr:pic>
          <xdr:nvPicPr>
            <xdr:cNvPr id="95" name="Graphic 94" descr="Users">
              <a:extLst>
                <a:ext uri="{FF2B5EF4-FFF2-40B4-BE49-F238E27FC236}">
                  <a16:creationId xmlns:a16="http://schemas.microsoft.com/office/drawing/2014/main" id="{4F7F15C0-6B58-4E52-AF4B-203B01B1EB5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155100" y="1333500"/>
              <a:ext cx="664425" cy="564300"/>
            </a:xfrm>
            <a:prstGeom prst="rect">
              <a:avLst/>
            </a:prstGeom>
          </xdr:spPr>
        </xdr:pic>
      </xdr:grpSp>
      <mc:AlternateContent xmlns:mc="http://schemas.openxmlformats.org/markup-compatibility/2006" xmlns:a14="http://schemas.microsoft.com/office/drawing/2010/main">
        <mc:Choice Requires="a14">
          <xdr:graphicFrame macro="">
            <xdr:nvGraphicFramePr>
              <xdr:cNvPr id="103" name="Route 1">
                <a:extLst>
                  <a:ext uri="{FF2B5EF4-FFF2-40B4-BE49-F238E27FC236}">
                    <a16:creationId xmlns:a16="http://schemas.microsoft.com/office/drawing/2014/main" id="{2062902D-8464-4539-9AB1-2F135DEB1546}"/>
                  </a:ext>
                </a:extLst>
              </xdr:cNvPr>
              <xdr:cNvGraphicFramePr/>
            </xdr:nvGraphicFramePr>
            <xdr:xfrm>
              <a:off x="0" y="2029109"/>
              <a:ext cx="1833918" cy="1584765"/>
            </xdr:xfrm>
            <a:graphic>
              <a:graphicData uri="http://schemas.microsoft.com/office/drawing/2010/slicer">
                <sle:slicer xmlns:sle="http://schemas.microsoft.com/office/drawing/2010/slicer" name="Route 1"/>
              </a:graphicData>
            </a:graphic>
          </xdr:graphicFrame>
        </mc:Choice>
        <mc:Fallback xmlns="">
          <xdr:sp macro="" textlink="">
            <xdr:nvSpPr>
              <xdr:cNvPr id="0" name=""/>
              <xdr:cNvSpPr>
                <a:spLocks noTextEdit="1"/>
              </xdr:cNvSpPr>
            </xdr:nvSpPr>
            <xdr:spPr>
              <a:xfrm>
                <a:off x="4656549" y="2238849"/>
                <a:ext cx="1833117" cy="169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4" name="Day 1">
                <a:extLst>
                  <a:ext uri="{FF2B5EF4-FFF2-40B4-BE49-F238E27FC236}">
                    <a16:creationId xmlns:a16="http://schemas.microsoft.com/office/drawing/2014/main" id="{4D4B73F7-CD20-4F03-B304-2BE96109193F}"/>
                  </a:ext>
                </a:extLst>
              </xdr:cNvPr>
              <xdr:cNvGraphicFramePr/>
            </xdr:nvGraphicFramePr>
            <xdr:xfrm>
              <a:off x="0" y="3624116"/>
              <a:ext cx="1833918" cy="2238245"/>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4656549" y="3944763"/>
                <a:ext cx="1833117" cy="239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07" name="Rectangle: Rounded Corners 106">
            <a:extLst>
              <a:ext uri="{FF2B5EF4-FFF2-40B4-BE49-F238E27FC236}">
                <a16:creationId xmlns:a16="http://schemas.microsoft.com/office/drawing/2014/main" id="{CB0EF216-C1E1-4C54-BFBC-6412B4B9781F}"/>
              </a:ext>
            </a:extLst>
          </xdr:cNvPr>
          <xdr:cNvSpPr/>
        </xdr:nvSpPr>
        <xdr:spPr>
          <a:xfrm>
            <a:off x="1843444" y="2051999"/>
            <a:ext cx="4617842" cy="21396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8" name="Chart 107">
            <a:extLst>
              <a:ext uri="{FF2B5EF4-FFF2-40B4-BE49-F238E27FC236}">
                <a16:creationId xmlns:a16="http://schemas.microsoft.com/office/drawing/2014/main" id="{70DD3E0E-409A-4968-B07C-077B80611637}"/>
              </a:ext>
            </a:extLst>
          </xdr:cNvPr>
          <xdr:cNvGraphicFramePr>
            <a:graphicFrameLocks/>
          </xdr:cNvGraphicFramePr>
        </xdr:nvGraphicFramePr>
        <xdr:xfrm>
          <a:off x="2095185" y="2166286"/>
          <a:ext cx="3975095" cy="1867556"/>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09" name="Chart 108">
            <a:extLst>
              <a:ext uri="{FF2B5EF4-FFF2-40B4-BE49-F238E27FC236}">
                <a16:creationId xmlns:a16="http://schemas.microsoft.com/office/drawing/2014/main" id="{04DCC0C5-8AF1-4100-9AA1-C511AAFF1FE2}"/>
              </a:ext>
            </a:extLst>
          </xdr:cNvPr>
          <xdr:cNvGraphicFramePr>
            <a:graphicFrameLocks/>
          </xdr:cNvGraphicFramePr>
        </xdr:nvGraphicFramePr>
        <xdr:xfrm>
          <a:off x="6625157" y="2546348"/>
          <a:ext cx="5194495" cy="130268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10" name="Rectangle: Rounded Corners 109">
            <a:extLst>
              <a:ext uri="{FF2B5EF4-FFF2-40B4-BE49-F238E27FC236}">
                <a16:creationId xmlns:a16="http://schemas.microsoft.com/office/drawing/2014/main" id="{09056B02-B20D-4684-8920-C8E098A538E2}"/>
              </a:ext>
            </a:extLst>
          </xdr:cNvPr>
          <xdr:cNvSpPr/>
        </xdr:nvSpPr>
        <xdr:spPr>
          <a:xfrm>
            <a:off x="1872799" y="4245613"/>
            <a:ext cx="10412903" cy="170561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1" name="Chart 110">
            <a:extLst>
              <a:ext uri="{FF2B5EF4-FFF2-40B4-BE49-F238E27FC236}">
                <a16:creationId xmlns:a16="http://schemas.microsoft.com/office/drawing/2014/main" id="{C3410202-95D6-47EF-8085-F68740B0F76B}"/>
              </a:ext>
            </a:extLst>
          </xdr:cNvPr>
          <xdr:cNvGraphicFramePr>
            <a:graphicFrameLocks/>
          </xdr:cNvGraphicFramePr>
        </xdr:nvGraphicFramePr>
        <xdr:xfrm>
          <a:off x="2040592" y="4656278"/>
          <a:ext cx="10050470" cy="121671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5" name="TextBox 24">
            <a:extLst>
              <a:ext uri="{FF2B5EF4-FFF2-40B4-BE49-F238E27FC236}">
                <a16:creationId xmlns:a16="http://schemas.microsoft.com/office/drawing/2014/main" id="{4257C6BA-AE25-480C-BB02-0647744BBE66}"/>
              </a:ext>
            </a:extLst>
          </xdr:cNvPr>
          <xdr:cNvSpPr txBox="1"/>
        </xdr:nvSpPr>
        <xdr:spPr>
          <a:xfrm>
            <a:off x="8818874" y="2203680"/>
            <a:ext cx="2508124" cy="2438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ROUTE-WISE</a:t>
            </a:r>
            <a:r>
              <a:rPr lang="en-IN" sz="1200" b="1" baseline="0">
                <a:solidFill>
                  <a:schemeClr val="accent6">
                    <a:lumMod val="75000"/>
                  </a:schemeClr>
                </a:solidFill>
              </a:rPr>
              <a:t> DELAY</a:t>
            </a:r>
            <a:endParaRPr lang="en-IN" sz="1200" b="1">
              <a:solidFill>
                <a:schemeClr val="accent6">
                  <a:lumMod val="75000"/>
                </a:schemeClr>
              </a:solidFill>
            </a:endParaRPr>
          </a:p>
        </xdr:txBody>
      </xdr:sp>
      <xdr:sp macro="" textlink="">
        <xdr:nvSpPr>
          <xdr:cNvPr id="26" name="TextBox 25">
            <a:extLst>
              <a:ext uri="{FF2B5EF4-FFF2-40B4-BE49-F238E27FC236}">
                <a16:creationId xmlns:a16="http://schemas.microsoft.com/office/drawing/2014/main" id="{AB4336E1-90AC-40D7-87C8-AC6A8E81E6E3}"/>
              </a:ext>
            </a:extLst>
          </xdr:cNvPr>
          <xdr:cNvSpPr txBox="1"/>
        </xdr:nvSpPr>
        <xdr:spPr>
          <a:xfrm>
            <a:off x="5879159" y="4322597"/>
            <a:ext cx="4512774" cy="274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ROUTE-SUPPORT ANALYSIS</a:t>
            </a:r>
          </a:p>
        </xdr:txBody>
      </xdr:sp>
      <xdr:sp macro="" textlink="">
        <xdr:nvSpPr>
          <xdr:cNvPr id="27" name="Rectangle: Rounded Corners 26">
            <a:extLst>
              <a:ext uri="{FF2B5EF4-FFF2-40B4-BE49-F238E27FC236}">
                <a16:creationId xmlns:a16="http://schemas.microsoft.com/office/drawing/2014/main" id="{1D1999C5-2C52-4AD6-8B2D-110C64EAF381}"/>
              </a:ext>
            </a:extLst>
          </xdr:cNvPr>
          <xdr:cNvSpPr/>
        </xdr:nvSpPr>
        <xdr:spPr>
          <a:xfrm>
            <a:off x="0" y="36635"/>
            <a:ext cx="12250543" cy="899644"/>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0" name="Graphic 119" descr="Bus">
            <a:extLst>
              <a:ext uri="{FF2B5EF4-FFF2-40B4-BE49-F238E27FC236}">
                <a16:creationId xmlns:a16="http://schemas.microsoft.com/office/drawing/2014/main" id="{9EC35CB3-E7D4-4609-8F07-6BA3D4E902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579550" y="122115"/>
            <a:ext cx="745632" cy="775645"/>
          </a:xfrm>
          <a:prstGeom prst="rect">
            <a:avLst/>
          </a:prstGeom>
        </xdr:spPr>
      </xdr:pic>
      <xdr:sp macro="" textlink="">
        <xdr:nvSpPr>
          <xdr:cNvPr id="28" name="TextBox 27">
            <a:extLst>
              <a:ext uri="{FF2B5EF4-FFF2-40B4-BE49-F238E27FC236}">
                <a16:creationId xmlns:a16="http://schemas.microsoft.com/office/drawing/2014/main" id="{C0E764E4-FD58-44E8-BEC1-C2F7581AF4E6}"/>
              </a:ext>
            </a:extLst>
          </xdr:cNvPr>
          <xdr:cNvSpPr txBox="1"/>
        </xdr:nvSpPr>
        <xdr:spPr>
          <a:xfrm>
            <a:off x="3606049" y="282505"/>
            <a:ext cx="5710081" cy="43068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SMART COLLEGE BUS ROUTE &amp; CROWD ANALYSIS</a:t>
            </a:r>
          </a:p>
        </xdr:txBody>
      </xdr:sp>
      <xdr:grpSp>
        <xdr:nvGrpSpPr>
          <xdr:cNvPr id="9" name="Group 8">
            <a:extLst>
              <a:ext uri="{FF2B5EF4-FFF2-40B4-BE49-F238E27FC236}">
                <a16:creationId xmlns:a16="http://schemas.microsoft.com/office/drawing/2014/main" id="{DBFD18DF-F480-4D92-AD77-BF9016B08323}"/>
              </a:ext>
            </a:extLst>
          </xdr:cNvPr>
          <xdr:cNvGrpSpPr/>
        </xdr:nvGrpSpPr>
        <xdr:grpSpPr>
          <a:xfrm>
            <a:off x="1" y="6141651"/>
            <a:ext cx="4782147" cy="2782905"/>
            <a:chOff x="3135759" y="6260814"/>
            <a:chExt cx="4773202" cy="2900310"/>
          </a:xfrm>
        </xdr:grpSpPr>
        <xdr:sp macro="" textlink="">
          <xdr:nvSpPr>
            <xdr:cNvPr id="3" name="Rectangle 2">
              <a:extLst>
                <a:ext uri="{FF2B5EF4-FFF2-40B4-BE49-F238E27FC236}">
                  <a16:creationId xmlns:a16="http://schemas.microsoft.com/office/drawing/2014/main" id="{3398FC65-3839-43E2-9EB5-FDC52D64359F}"/>
                </a:ext>
              </a:extLst>
            </xdr:cNvPr>
            <xdr:cNvSpPr/>
          </xdr:nvSpPr>
          <xdr:spPr>
            <a:xfrm>
              <a:off x="3135759" y="6260814"/>
              <a:ext cx="4773202" cy="290031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D916A1BE-7CA5-481B-AB81-7D2661B611F2}"/>
                </a:ext>
              </a:extLst>
            </xdr:cNvPr>
            <xdr:cNvSpPr txBox="1"/>
          </xdr:nvSpPr>
          <xdr:spPr>
            <a:xfrm>
              <a:off x="4537752" y="6282220"/>
              <a:ext cx="2097641" cy="39598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KEY INSIGHTS</a:t>
              </a:r>
            </a:p>
          </xdr:txBody>
        </xdr:sp>
        <xdr:sp macro="" textlink="">
          <xdr:nvSpPr>
            <xdr:cNvPr id="8" name="TextBox 7">
              <a:extLst>
                <a:ext uri="{FF2B5EF4-FFF2-40B4-BE49-F238E27FC236}">
                  <a16:creationId xmlns:a16="http://schemas.microsoft.com/office/drawing/2014/main" id="{552DE470-69DF-4DBA-BAB8-D6D031BCF03C}"/>
                </a:ext>
              </a:extLst>
            </xdr:cNvPr>
            <xdr:cNvSpPr txBox="1"/>
          </xdr:nvSpPr>
          <xdr:spPr>
            <a:xfrm>
              <a:off x="3660168" y="6945759"/>
              <a:ext cx="3874214" cy="2044129"/>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Route 2 has the highest student crowd.</a:t>
              </a:r>
            </a:p>
            <a:p>
              <a:br>
                <a:rPr lang="en-IN" sz="1400"/>
              </a:br>
              <a:r>
                <a:rPr lang="en-IN" sz="1400"/>
                <a:t>• Route 2 has the highest average delay.</a:t>
              </a:r>
            </a:p>
            <a:p>
              <a:br>
                <a:rPr lang="en-IN" sz="1400"/>
              </a:br>
              <a:r>
                <a:rPr lang="en-IN" sz="1400"/>
                <a:t>• Route 2 has 9 overcrowded trips.</a:t>
              </a:r>
            </a:p>
            <a:p>
              <a:br>
                <a:rPr lang="en-IN" sz="1400"/>
              </a:br>
              <a:r>
                <a:rPr lang="en-IN" sz="1400"/>
                <a:t>• Route 2 may require additional bus support.</a:t>
              </a:r>
            </a:p>
          </xdr:txBody>
        </xdr:sp>
      </xdr:grpSp>
    </xdr:grpSp>
    <xdr:clientData/>
  </xdr:twoCellAnchor>
</xdr:wsDr>
</file>

<file path=xl/drawings/drawing3.xml><?xml version="1.0" encoding="utf-8"?>
<c:userShapes xmlns:c="http://schemas.openxmlformats.org/drawingml/2006/chart">
  <cdr:relSizeAnchor xmlns:cdr="http://schemas.openxmlformats.org/drawingml/2006/chartDrawing">
    <cdr:from>
      <cdr:x>0.33452</cdr:x>
      <cdr:y>0.06675</cdr:y>
    </cdr:from>
    <cdr:to>
      <cdr:x>0.88858</cdr:x>
      <cdr:y>0.19872</cdr:y>
    </cdr:to>
    <cdr:sp macro="" textlink="">
      <cdr:nvSpPr>
        <cdr:cNvPr id="2" name="TextBox 1">
          <a:extLst xmlns:a="http://schemas.openxmlformats.org/drawingml/2006/main">
            <a:ext uri="{FF2B5EF4-FFF2-40B4-BE49-F238E27FC236}">
              <a16:creationId xmlns:a16="http://schemas.microsoft.com/office/drawing/2014/main" id="{4F6A7C61-8B39-4037-906E-9CF1482926F5}"/>
            </a:ext>
          </a:extLst>
        </cdr:cNvPr>
        <cdr:cNvSpPr txBox="1"/>
      </cdr:nvSpPr>
      <cdr:spPr>
        <a:xfrm xmlns:a="http://schemas.openxmlformats.org/drawingml/2006/main">
          <a:off x="1329229" y="127252"/>
          <a:ext cx="2201533" cy="25160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l"/>
          <a:r>
            <a:rPr lang="en-IN" sz="1200" b="1">
              <a:solidFill>
                <a:schemeClr val="accent6">
                  <a:lumMod val="75000"/>
                </a:schemeClr>
              </a:solidFill>
            </a:rPr>
            <a:t>ROUTE-WISE</a:t>
          </a:r>
          <a:r>
            <a:rPr lang="en-IN" sz="1200" b="1" baseline="0">
              <a:solidFill>
                <a:schemeClr val="accent6">
                  <a:lumMod val="75000"/>
                </a:schemeClr>
              </a:solidFill>
            </a:rPr>
            <a:t> CROWD</a:t>
          </a:r>
          <a:endParaRPr lang="en-IN" sz="1200" b="1">
            <a:solidFill>
              <a:schemeClr val="accent6">
                <a:lumMod val="7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80.816014004631" createdVersion="6" refreshedVersion="6" minRefreshableVersion="3" recordCount="27" xr:uid="{2D78BD30-5601-4E24-9325-ABDA24739B1F}">
  <cacheSource type="worksheet">
    <worksheetSource name="Table1"/>
  </cacheSource>
  <cacheFields count="13">
    <cacheField name="Trip_ID" numFmtId="0">
      <sharedItems count="27">
        <s v="T001"/>
        <s v="T002"/>
        <s v="T003"/>
        <s v="T004"/>
        <s v="T005"/>
        <s v="T006"/>
        <s v="T007"/>
        <s v="T008"/>
        <s v="T009"/>
        <s v="T010"/>
        <s v="T011"/>
        <s v="T012"/>
        <s v="T013"/>
        <s v="T014"/>
        <s v="T015"/>
        <s v="T016"/>
        <s v="T017"/>
        <s v="T018"/>
        <s v="T019"/>
        <s v="T020"/>
        <s v="T021"/>
        <s v="T022"/>
        <s v="T023"/>
        <s v="T024"/>
        <s v="T025"/>
        <s v="T026"/>
        <s v="T027"/>
      </sharedItems>
    </cacheField>
    <cacheField name="Date" numFmtId="14">
      <sharedItems containsSemiMixedTypes="0" containsNonDate="0" containsDate="1" containsString="0" minDate="2026-09-01T00:00:00" maxDate="2026-09-07T00:00:00"/>
    </cacheField>
    <cacheField name="Day" numFmtId="0">
      <sharedItems count="6">
        <s v="Tuesday"/>
        <s v="Wednesday"/>
        <s v="Thursday"/>
        <s v="Friday"/>
        <s v="Saturday"/>
        <s v="Sunday"/>
      </sharedItems>
    </cacheField>
    <cacheField name="Bus_ID" numFmtId="0">
      <sharedItems count="3">
        <s v="BUS01"/>
        <s v="BUS02"/>
        <s v="BUS03"/>
      </sharedItems>
    </cacheField>
    <cacheField name="Route" numFmtId="0">
      <sharedItems count="3">
        <s v="Route 1"/>
        <s v="Route 2"/>
        <s v="Route 3"/>
      </sharedItems>
    </cacheField>
    <cacheField name="Stop" numFmtId="0">
      <sharedItems/>
    </cacheField>
    <cacheField name="Scheduled_Time" numFmtId="20">
      <sharedItems containsSemiMixedTypes="0" containsNonDate="0" containsDate="1" containsString="0" minDate="1899-12-30T08:00:00" maxDate="1899-12-30T08:20:00"/>
    </cacheField>
    <cacheField name="Actual_Time" numFmtId="20">
      <sharedItems containsSemiMixedTypes="0" containsNonDate="0" containsDate="1" containsString="0" minDate="1899-12-30T08:04:00" maxDate="1899-12-30T08:35:00"/>
    </cacheField>
    <cacheField name="Students_Count" numFmtId="0">
      <sharedItems containsSemiMixedTypes="0" containsString="0" containsNumber="1" containsInteger="1" minValue="28" maxValue="80"/>
    </cacheField>
    <cacheField name="Capacity" numFmtId="0">
      <sharedItems containsSemiMixedTypes="0" containsString="0" containsNumber="1" containsInteger="1" minValue="40" maxValue="50"/>
    </cacheField>
    <cacheField name="Delay_Minutes" numFmtId="0">
      <sharedItems containsSemiMixedTypes="0" containsString="0" containsNumber="1" minValue="2.9999999999999094" maxValue="20.000000000000089"/>
    </cacheField>
    <cacheField name="Crowd_Status" numFmtId="0">
      <sharedItems count="2">
        <s v="Normal"/>
        <s v="Overcrowded"/>
      </sharedItems>
    </cacheField>
    <cacheField name="Occupancy_%" numFmtId="0">
      <sharedItems containsSemiMixedTypes="0" containsString="0" containsNumber="1" minValue="70" maxValue="160"/>
    </cacheField>
  </cacheFields>
  <extLst>
    <ext xmlns:x14="http://schemas.microsoft.com/office/spreadsheetml/2009/9/main" uri="{725AE2AE-9491-48be-B2B4-4EB974FC3084}">
      <x14:pivotCacheDefinition pivotCacheId="112254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d v="2026-09-01T00:00:00"/>
    <x v="0"/>
    <x v="0"/>
    <x v="0"/>
    <s v="Stop A"/>
    <d v="1899-12-30T08:00:00"/>
    <d v="1899-12-30T08:05:00"/>
    <n v="35"/>
    <n v="50"/>
    <n v="5.0000000000000622"/>
    <x v="0"/>
    <n v="70"/>
  </r>
  <r>
    <x v="1"/>
    <d v="2026-09-01T00:00:00"/>
    <x v="0"/>
    <x v="0"/>
    <x v="0"/>
    <s v="Stop B"/>
    <d v="1899-12-30T08:10:00"/>
    <d v="1899-12-30T08:18:00"/>
    <n v="48"/>
    <n v="50"/>
    <n v="8.0000000000001315"/>
    <x v="0"/>
    <n v="96"/>
  </r>
  <r>
    <x v="2"/>
    <d v="2026-09-01T00:00:00"/>
    <x v="0"/>
    <x v="1"/>
    <x v="1"/>
    <s v="Stop C"/>
    <d v="1899-12-30T08:00:00"/>
    <d v="1899-12-30T08:15:00"/>
    <n v="62"/>
    <n v="50"/>
    <n v="15.000000000000027"/>
    <x v="1"/>
    <n v="124"/>
  </r>
  <r>
    <x v="3"/>
    <d v="2026-09-01T00:00:00"/>
    <x v="0"/>
    <x v="1"/>
    <x v="1"/>
    <s v="Stop D"/>
    <d v="1899-12-30T08:20:00"/>
    <d v="1899-12-30T08:30:00"/>
    <n v="70"/>
    <n v="50"/>
    <n v="9.9999999999999645"/>
    <x v="1"/>
    <n v="140"/>
  </r>
  <r>
    <x v="4"/>
    <d v="2026-09-01T00:00:00"/>
    <x v="0"/>
    <x v="2"/>
    <x v="2"/>
    <s v="Stop E"/>
    <d v="1899-12-30T08:05:00"/>
    <d v="1899-12-30T08:08:00"/>
    <n v="28"/>
    <n v="40"/>
    <n v="2.9999999999999094"/>
    <x v="0"/>
    <n v="70"/>
  </r>
  <r>
    <x v="5"/>
    <d v="2026-09-02T00:00:00"/>
    <x v="1"/>
    <x v="0"/>
    <x v="0"/>
    <s v="Stop A"/>
    <d v="1899-12-30T08:00:00"/>
    <d v="1899-12-30T08:04:00"/>
    <n v="40"/>
    <n v="50"/>
    <n v="3.9999999999999858"/>
    <x v="0"/>
    <n v="80"/>
  </r>
  <r>
    <x v="6"/>
    <d v="2026-09-02T00:00:00"/>
    <x v="1"/>
    <x v="0"/>
    <x v="0"/>
    <s v="Stop B"/>
    <d v="1899-12-30T08:10:00"/>
    <d v="1899-12-30T08:14:00"/>
    <n v="45"/>
    <n v="50"/>
    <n v="3.9999999999999858"/>
    <x v="0"/>
    <n v="90"/>
  </r>
  <r>
    <x v="7"/>
    <d v="2026-09-02T00:00:00"/>
    <x v="1"/>
    <x v="1"/>
    <x v="1"/>
    <s v="Stop C"/>
    <d v="1899-12-30T08:00:00"/>
    <d v="1899-12-30T08:12:00"/>
    <n v="65"/>
    <n v="50"/>
    <n v="11.999999999999957"/>
    <x v="1"/>
    <n v="130"/>
  </r>
  <r>
    <x v="8"/>
    <d v="2026-09-02T00:00:00"/>
    <x v="1"/>
    <x v="2"/>
    <x v="2"/>
    <s v="Stop E"/>
    <d v="1899-12-30T08:05:00"/>
    <d v="1899-12-30T08:20:00"/>
    <n v="38"/>
    <n v="40"/>
    <n v="15.000000000000027"/>
    <x v="0"/>
    <n v="95"/>
  </r>
  <r>
    <x v="9"/>
    <d v="2026-09-02T00:00:00"/>
    <x v="1"/>
    <x v="2"/>
    <x v="2"/>
    <s v="Stop F"/>
    <d v="1899-12-30T08:20:00"/>
    <d v="1899-12-30T08:28:00"/>
    <n v="42"/>
    <n v="40"/>
    <n v="7.9999999999999716"/>
    <x v="1"/>
    <n v="105"/>
  </r>
  <r>
    <x v="10"/>
    <d v="2026-09-03T00:00:00"/>
    <x v="2"/>
    <x v="0"/>
    <x v="0"/>
    <s v="Stop A"/>
    <d v="1899-12-30T08:00:00"/>
    <d v="1899-12-30T08:10:00"/>
    <n v="36"/>
    <n v="50"/>
    <n v="9.9999999999999645"/>
    <x v="0"/>
    <n v="72"/>
  </r>
  <r>
    <x v="11"/>
    <d v="2026-09-03T00:00:00"/>
    <x v="2"/>
    <x v="1"/>
    <x v="1"/>
    <s v="Stop C"/>
    <d v="1899-12-30T08:00:00"/>
    <d v="1899-12-30T08:20:00"/>
    <n v="68"/>
    <n v="50"/>
    <n v="20.000000000000089"/>
    <x v="1"/>
    <n v="136"/>
  </r>
  <r>
    <x v="12"/>
    <d v="2026-09-03T00:00:00"/>
    <x v="2"/>
    <x v="1"/>
    <x v="1"/>
    <s v="Stop D"/>
    <d v="1899-12-30T08:20:00"/>
    <d v="1899-12-30T08:35:00"/>
    <n v="72"/>
    <n v="50"/>
    <n v="14.999999999999947"/>
    <x v="1"/>
    <n v="144"/>
  </r>
  <r>
    <x v="13"/>
    <d v="2026-09-03T00:00:00"/>
    <x v="2"/>
    <x v="2"/>
    <x v="2"/>
    <s v="Stop E"/>
    <d v="1899-12-30T08:05:00"/>
    <d v="1899-12-30T08:09:00"/>
    <n v="30"/>
    <n v="40"/>
    <n v="3.9999999999999858"/>
    <x v="0"/>
    <n v="75"/>
  </r>
  <r>
    <x v="14"/>
    <d v="2026-09-03T00:00:00"/>
    <x v="2"/>
    <x v="2"/>
    <x v="2"/>
    <s v="Stop F"/>
    <d v="1899-12-30T08:20:00"/>
    <d v="1899-12-30T08:25:00"/>
    <n v="35"/>
    <n v="40"/>
    <n v="4.9999999999999023"/>
    <x v="0"/>
    <n v="87.5"/>
  </r>
  <r>
    <x v="15"/>
    <d v="2026-09-04T00:00:00"/>
    <x v="3"/>
    <x v="0"/>
    <x v="0"/>
    <s v="Stop A"/>
    <d v="1899-12-30T08:00:00"/>
    <d v="1899-12-30T08:06:00"/>
    <n v="38"/>
    <n v="50"/>
    <n v="5.9999999999999787"/>
    <x v="0"/>
    <n v="76"/>
  </r>
  <r>
    <x v="16"/>
    <d v="2026-09-04T00:00:00"/>
    <x v="3"/>
    <x v="1"/>
    <x v="1"/>
    <s v="Stop C"/>
    <d v="1899-12-30T08:00:00"/>
    <d v="1899-12-30T08:14:00"/>
    <n v="75"/>
    <n v="50"/>
    <n v="13.99999999999995"/>
    <x v="1"/>
    <n v="150"/>
  </r>
  <r>
    <x v="17"/>
    <d v="2026-09-04T00:00:00"/>
    <x v="3"/>
    <x v="2"/>
    <x v="2"/>
    <s v="Stop E"/>
    <d v="1899-12-30T08:05:00"/>
    <d v="1899-12-30T08:11:00"/>
    <n v="32"/>
    <n v="40"/>
    <n v="5.9999999999999787"/>
    <x v="0"/>
    <n v="80"/>
  </r>
  <r>
    <x v="18"/>
    <d v="2026-09-04T00:00:00"/>
    <x v="3"/>
    <x v="1"/>
    <x v="1"/>
    <s v="Stop D"/>
    <d v="1899-12-30T08:20:00"/>
    <d v="1899-12-30T08:33:00"/>
    <n v="78"/>
    <n v="50"/>
    <n v="12.999999999999954"/>
    <x v="1"/>
    <n v="156"/>
  </r>
  <r>
    <x v="19"/>
    <d v="2026-09-05T00:00:00"/>
    <x v="4"/>
    <x v="0"/>
    <x v="0"/>
    <s v="Stop A"/>
    <d v="1899-12-30T08:00:00"/>
    <d v="1899-12-30T08:07:00"/>
    <n v="42"/>
    <n v="50"/>
    <n v="7.0000000000000551"/>
    <x v="0"/>
    <n v="84"/>
  </r>
  <r>
    <x v="20"/>
    <d v="2026-09-05T00:00:00"/>
    <x v="4"/>
    <x v="1"/>
    <x v="1"/>
    <s v="Stop C"/>
    <d v="1899-12-30T08:00:00"/>
    <d v="1899-12-30T08:18:00"/>
    <n v="80"/>
    <n v="50"/>
    <n v="18.000000000000096"/>
    <x v="1"/>
    <n v="160"/>
  </r>
  <r>
    <x v="21"/>
    <d v="2026-09-05T00:00:00"/>
    <x v="4"/>
    <x v="2"/>
    <x v="2"/>
    <s v="Stop E"/>
    <d v="1899-12-30T08:05:00"/>
    <d v="1899-12-30T08:10:00"/>
    <n v="34"/>
    <n v="40"/>
    <n v="4.9999999999999023"/>
    <x v="0"/>
    <n v="85"/>
  </r>
  <r>
    <x v="22"/>
    <d v="2026-09-05T00:00:00"/>
    <x v="4"/>
    <x v="2"/>
    <x v="2"/>
    <s v="Stop F"/>
    <d v="1899-12-30T08:20:00"/>
    <d v="1899-12-30T08:26:00"/>
    <n v="37"/>
    <n v="40"/>
    <n v="5.9999999999999787"/>
    <x v="0"/>
    <n v="92.5"/>
  </r>
  <r>
    <x v="23"/>
    <d v="2026-09-06T00:00:00"/>
    <x v="5"/>
    <x v="0"/>
    <x v="0"/>
    <s v="Stop A"/>
    <d v="1899-12-30T08:00:00"/>
    <d v="1899-12-30T08:05:00"/>
    <n v="39"/>
    <n v="50"/>
    <n v="5.0000000000000622"/>
    <x v="0"/>
    <n v="78"/>
  </r>
  <r>
    <x v="24"/>
    <d v="2026-09-06T00:00:00"/>
    <x v="5"/>
    <x v="1"/>
    <x v="1"/>
    <s v="Stop C"/>
    <d v="1899-12-30T08:00:00"/>
    <d v="1899-12-30T08:16:00"/>
    <n v="74"/>
    <n v="50"/>
    <n v="16.000000000000103"/>
    <x v="1"/>
    <n v="148"/>
  </r>
  <r>
    <x v="25"/>
    <d v="2026-09-06T00:00:00"/>
    <x v="5"/>
    <x v="2"/>
    <x v="2"/>
    <s v="Stop E"/>
    <d v="1899-12-30T08:05:00"/>
    <d v="1899-12-30T08:12:00"/>
    <n v="31"/>
    <n v="40"/>
    <n v="6.9999999999998952"/>
    <x v="0"/>
    <n v="77.5"/>
  </r>
  <r>
    <x v="26"/>
    <d v="2026-09-06T00:00:00"/>
    <x v="5"/>
    <x v="2"/>
    <x v="2"/>
    <s v="Stop F"/>
    <d v="1899-12-30T08:20:00"/>
    <d v="1899-12-30T08:27:00"/>
    <n v="36"/>
    <n v="40"/>
    <n v="6.9999999999998952"/>
    <x v="0"/>
    <n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84948-734D-4BAB-A390-76BF4973A796}"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9:I13" firstHeaderRow="0" firstDataRow="1" firstDataCol="1"/>
  <pivotFields count="13">
    <pivotField showAll="0"/>
    <pivotField numFmtId="14" showAll="0"/>
    <pivotField showAll="0">
      <items count="7">
        <item x="5"/>
        <item x="0"/>
        <item x="1"/>
        <item x="2"/>
        <item x="3"/>
        <item x="4"/>
        <item t="default"/>
      </items>
    </pivotField>
    <pivotField showAll="0"/>
    <pivotField axis="axisRow" showAll="0">
      <items count="4">
        <item x="0"/>
        <item x="1"/>
        <item x="2"/>
        <item t="default"/>
      </items>
    </pivotField>
    <pivotField showAll="0"/>
    <pivotField numFmtId="20" showAll="0"/>
    <pivotField numFmtId="20" showAll="0"/>
    <pivotField dataField="1" showAll="0"/>
    <pivotField showAll="0"/>
    <pivotField dataField="1" showAll="0"/>
    <pivotField showAll="0"/>
    <pivotField dataField="1" showAll="0"/>
  </pivotFields>
  <rowFields count="1">
    <field x="4"/>
  </rowFields>
  <rowItems count="4">
    <i>
      <x/>
    </i>
    <i>
      <x v="1"/>
    </i>
    <i>
      <x v="2"/>
    </i>
    <i t="grand">
      <x/>
    </i>
  </rowItems>
  <colFields count="1">
    <field x="-2"/>
  </colFields>
  <colItems count="3">
    <i>
      <x/>
    </i>
    <i i="1">
      <x v="1"/>
    </i>
    <i i="2">
      <x v="2"/>
    </i>
  </colItems>
  <dataFields count="3">
    <dataField name="Average of Students_Count" fld="8" subtotal="average" baseField="0" baseItem="0"/>
    <dataField name="Average of Occupancy_%" fld="12" subtotal="average" baseField="0" baseItem="1"/>
    <dataField name="Average of Delay_Minutes" fld="10" subtotal="average" baseField="0" baseItem="1"/>
  </dataFields>
  <formats count="30">
    <format dxfId="48">
      <pivotArea type="all" dataOnly="0" outline="0" fieldPosition="0"/>
    </format>
    <format dxfId="47">
      <pivotArea outline="0" collapsedLevelsAreSubtotals="1" fieldPosition="0"/>
    </format>
    <format dxfId="46">
      <pivotArea field="4" type="button" dataOnly="0" labelOnly="1" outline="0" axis="axisRow" fieldPosition="0"/>
    </format>
    <format dxfId="45">
      <pivotArea dataOnly="0" labelOnly="1" fieldPosition="0">
        <references count="1">
          <reference field="4" count="0"/>
        </references>
      </pivotArea>
    </format>
    <format dxfId="44">
      <pivotArea dataOnly="0" labelOnly="1" grandRow="1" outline="0" fieldPosition="0"/>
    </format>
    <format dxfId="43">
      <pivotArea dataOnly="0" labelOnly="1" outline="0" fieldPosition="0">
        <references count="1">
          <reference field="4294967294" count="3">
            <x v="0"/>
            <x v="1"/>
            <x v="2"/>
          </reference>
        </references>
      </pivotArea>
    </format>
    <format dxfId="42">
      <pivotArea type="all" dataOnly="0" outline="0" fieldPosition="0"/>
    </format>
    <format dxfId="41">
      <pivotArea outline="0" collapsedLevelsAreSubtotals="1" fieldPosition="0"/>
    </format>
    <format dxfId="40">
      <pivotArea field="4" type="button" dataOnly="0" labelOnly="1" outline="0" axis="axisRow" fieldPosition="0"/>
    </format>
    <format dxfId="39">
      <pivotArea dataOnly="0" labelOnly="1" fieldPosition="0">
        <references count="1">
          <reference field="4" count="0"/>
        </references>
      </pivotArea>
    </format>
    <format dxfId="38">
      <pivotArea dataOnly="0" labelOnly="1" grandRow="1" outline="0" fieldPosition="0"/>
    </format>
    <format dxfId="37">
      <pivotArea dataOnly="0" labelOnly="1" outline="0" fieldPosition="0">
        <references count="1">
          <reference field="4294967294" count="3">
            <x v="0"/>
            <x v="1"/>
            <x v="2"/>
          </reference>
        </references>
      </pivotArea>
    </format>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fieldPosition="0">
        <references count="1">
          <reference field="4294967294" count="3">
            <x v="0"/>
            <x v="1"/>
            <x v="2"/>
          </reference>
        </references>
      </pivotArea>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outline="0" fieldPosition="0">
        <references count="1">
          <reference field="4294967294" count="3">
            <x v="0"/>
            <x v="1"/>
            <x v="2"/>
          </reference>
        </references>
      </pivotArea>
    </format>
    <format dxfId="24">
      <pivotArea type="all" dataOnly="0" outline="0" fieldPosition="0"/>
    </format>
    <format dxfId="23">
      <pivotArea outline="0" collapsedLevelsAreSubtotals="1" fieldPosition="0"/>
    </format>
    <format dxfId="22">
      <pivotArea field="4" type="button" dataOnly="0" labelOnly="1" outline="0" axis="axisRow" fieldPosition="0"/>
    </format>
    <format dxfId="21">
      <pivotArea dataOnly="0" labelOnly="1" fieldPosition="0">
        <references count="1">
          <reference field="4" count="0"/>
        </references>
      </pivotArea>
    </format>
    <format dxfId="20">
      <pivotArea dataOnly="0" labelOnly="1" grandRow="1" outline="0" fieldPosition="0"/>
    </format>
    <format dxfId="19">
      <pivotArea dataOnly="0" labelOnly="1" outline="0" fieldPosition="0">
        <references count="1">
          <reference field="4294967294" count="3">
            <x v="0"/>
            <x v="1"/>
            <x v="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pivotArea type="data" outline="0" fieldPosition="0">
        <references count="2">
          <reference field="4294967294" count="1" selected="0">
            <x v="1"/>
          </reference>
          <reference field="4" count="1" selected="0">
            <x v="0"/>
          </reference>
        </references>
      </pivotArea>
    </chartFormat>
    <chartFormat chart="2" format="11" series="1">
      <pivotArea type="data" outline="0" fieldPosition="0">
        <references count="1">
          <reference field="4294967294"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C041FC-40B3-4351-91C0-9FF34179903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9:D14" firstHeaderRow="1" firstDataRow="2" firstDataCol="1"/>
  <pivotFields count="13">
    <pivotField dataField="1"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4" showAll="0"/>
    <pivotField showAll="0"/>
    <pivotField axis="axisRow" showAll="0">
      <items count="4">
        <item x="0"/>
        <item x="1"/>
        <item x="2"/>
        <item t="default"/>
      </items>
    </pivotField>
    <pivotField showAll="0">
      <items count="4">
        <item x="0"/>
        <item x="1"/>
        <item x="2"/>
        <item t="default"/>
      </items>
    </pivotField>
    <pivotField showAll="0"/>
    <pivotField numFmtId="20" showAll="0"/>
    <pivotField numFmtId="20" showAll="0"/>
    <pivotField showAll="0"/>
    <pivotField showAll="0"/>
    <pivotField showAll="0"/>
    <pivotField axis="axisCol" showAll="0">
      <items count="3">
        <item x="0"/>
        <item x="1"/>
        <item t="default"/>
      </items>
    </pivotField>
    <pivotField showAll="0"/>
  </pivotFields>
  <rowFields count="1">
    <field x="3"/>
  </rowFields>
  <rowItems count="4">
    <i>
      <x/>
    </i>
    <i>
      <x v="1"/>
    </i>
    <i>
      <x v="2"/>
    </i>
    <i t="grand">
      <x/>
    </i>
  </rowItems>
  <colFields count="1">
    <field x="11"/>
  </colFields>
  <colItems count="3">
    <i>
      <x/>
    </i>
    <i>
      <x v="1"/>
    </i>
    <i t="grand">
      <x/>
    </i>
  </colItems>
  <dataFields count="1">
    <dataField name="Count of Trip_ID" fld="0" subtotal="count" baseField="3" baseItem="0"/>
  </dataFields>
  <formats count="40">
    <format dxfId="88">
      <pivotArea type="all" dataOnly="0" outline="0" fieldPosition="0"/>
    </format>
    <format dxfId="87">
      <pivotArea outline="0" collapsedLevelsAreSubtotals="1" fieldPosition="0"/>
    </format>
    <format dxfId="86">
      <pivotArea type="origin" dataOnly="0" labelOnly="1" outline="0" fieldPosition="0"/>
    </format>
    <format dxfId="85">
      <pivotArea field="11" type="button" dataOnly="0" labelOnly="1" outline="0" axis="axisCol" fieldPosition="0"/>
    </format>
    <format dxfId="84">
      <pivotArea type="topRight" dataOnly="0" labelOnly="1" outline="0" fieldPosition="0"/>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dataOnly="0" labelOnly="1" fieldPosition="0">
        <references count="1">
          <reference field="11" count="0"/>
        </references>
      </pivotArea>
    </format>
    <format dxfId="79">
      <pivotArea dataOnly="0" labelOnly="1" grandCol="1" outline="0" fieldPosition="0"/>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field="11" type="button" dataOnly="0" labelOnly="1" outline="0" axis="axisCol" fieldPosition="0"/>
    </format>
    <format dxfId="74">
      <pivotArea type="topRight" dataOnly="0" labelOnly="1" outline="0" fieldPosition="0"/>
    </format>
    <format dxfId="73">
      <pivotArea field="3" type="button" dataOnly="0" labelOnly="1" outline="0" axis="axisRow" fieldPosition="0"/>
    </format>
    <format dxfId="72">
      <pivotArea dataOnly="0" labelOnly="1" fieldPosition="0">
        <references count="1">
          <reference field="3" count="0"/>
        </references>
      </pivotArea>
    </format>
    <format dxfId="71">
      <pivotArea dataOnly="0" labelOnly="1" grandRow="1" outline="0" fieldPosition="0"/>
    </format>
    <format dxfId="70">
      <pivotArea dataOnly="0" labelOnly="1" fieldPosition="0">
        <references count="1">
          <reference field="11" count="0"/>
        </references>
      </pivotArea>
    </format>
    <format dxfId="69">
      <pivotArea dataOnly="0" labelOnly="1" grandCol="1" outline="0"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11" type="button" dataOnly="0" labelOnly="1" outline="0" axis="axisCol" fieldPosition="0"/>
    </format>
    <format dxfId="64">
      <pivotArea type="topRight" dataOnly="0" labelOnly="1" outline="0"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grandRow="1" outline="0" fieldPosition="0"/>
    </format>
    <format dxfId="60">
      <pivotArea dataOnly="0" labelOnly="1" fieldPosition="0">
        <references count="1">
          <reference field="11" count="0"/>
        </references>
      </pivotArea>
    </format>
    <format dxfId="59">
      <pivotArea dataOnly="0" labelOnly="1" grandCol="1" outline="0" fieldPosition="0"/>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11" type="button" dataOnly="0" labelOnly="1" outline="0" axis="axisCol" fieldPosition="0"/>
    </format>
    <format dxfId="54">
      <pivotArea type="topRight" dataOnly="0" labelOnly="1" outline="0"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fieldPosition="0">
        <references count="1">
          <reference field="11" count="0"/>
        </references>
      </pivotArea>
    </format>
    <format dxfId="49">
      <pivotArea dataOnly="0" labelOnly="1" grandCol="1" outline="0" fieldPosition="0"/>
    </format>
  </formats>
  <chartFormats count="2">
    <chartFormat chart="0" format="5" series="1">
      <pivotArea type="data" outline="0" fieldPosition="0">
        <references count="2">
          <reference field="4294967294" count="1" selected="0">
            <x v="0"/>
          </reference>
          <reference field="11" count="1" selected="0">
            <x v="0"/>
          </reference>
        </references>
      </pivotArea>
    </chartFormat>
    <chartFormat chart="0" format="6" series="1">
      <pivotArea type="data" outline="0" fieldPosition="0">
        <references count="2">
          <reference field="4294967294" count="1" selected="0">
            <x v="0"/>
          </reference>
          <reference field="11"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EA5ED-10C8-462E-ADF4-78895EE13F6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7" firstHeaderRow="1" firstDataRow="1" firstDataCol="1"/>
  <pivotFields count="13">
    <pivotField showAll="0"/>
    <pivotField numFmtId="14" showAll="0"/>
    <pivotField showAll="0">
      <items count="7">
        <item x="5"/>
        <item x="0"/>
        <item x="1"/>
        <item x="2"/>
        <item x="3"/>
        <item x="4"/>
        <item t="default"/>
      </items>
    </pivotField>
    <pivotField showAll="0"/>
    <pivotField axis="axisRow" showAll="0">
      <items count="4">
        <item x="0"/>
        <item x="1"/>
        <item x="2"/>
        <item t="default"/>
      </items>
    </pivotField>
    <pivotField showAll="0"/>
    <pivotField numFmtId="20" showAll="0"/>
    <pivotField numFmtId="20" showAll="0"/>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Average of Students_Count" fld="8" subtotal="average" baseField="4" baseItem="0"/>
  </dataFields>
  <formats count="24">
    <format dxfId="112">
      <pivotArea type="all" dataOnly="0" outline="0" fieldPosition="0"/>
    </format>
    <format dxfId="111">
      <pivotArea outline="0" collapsedLevelsAreSubtotals="1" fieldPosition="0"/>
    </format>
    <format dxfId="110">
      <pivotArea field="4" type="button" dataOnly="0" labelOnly="1" outline="0" axis="axisRow" fieldPosition="0"/>
    </format>
    <format dxfId="109">
      <pivotArea dataOnly="0" labelOnly="1" fieldPosition="0">
        <references count="1">
          <reference field="4"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4" type="button" dataOnly="0" labelOnly="1" outline="0" axis="axisRow" fieldPosition="0"/>
    </format>
    <format dxfId="103">
      <pivotArea dataOnly="0" labelOnly="1" fieldPosition="0">
        <references count="1">
          <reference field="4"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4" type="button" dataOnly="0" labelOnly="1" outline="0" axis="axisRow" fieldPosition="0"/>
    </format>
    <format dxfId="97">
      <pivotArea dataOnly="0" labelOnly="1" fieldPosition="0">
        <references count="1">
          <reference field="4" count="0"/>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4" type="button" dataOnly="0" labelOnly="1" outline="0" axis="axisRow" fieldPosition="0"/>
    </format>
    <format dxfId="91">
      <pivotArea dataOnly="0" labelOnly="1" fieldPosition="0">
        <references count="1">
          <reference field="4" count="0"/>
        </references>
      </pivotArea>
    </format>
    <format dxfId="90">
      <pivotArea dataOnly="0" labelOnly="1" grandRow="1" outline="0" fieldPosition="0"/>
    </format>
    <format dxfId="8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D66A2-3620-460C-8576-689FBE073335}"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7" firstHeaderRow="1" firstDataRow="1" firstDataCol="1"/>
  <pivotFields count="13">
    <pivotField showAll="0"/>
    <pivotField numFmtId="14" showAll="0"/>
    <pivotField showAll="0">
      <items count="7">
        <item x="5"/>
        <item x="0"/>
        <item x="1"/>
        <item x="2"/>
        <item x="3"/>
        <item x="4"/>
        <item t="default"/>
      </items>
    </pivotField>
    <pivotField showAll="0"/>
    <pivotField axis="axisRow" showAll="0">
      <items count="4">
        <item x="0"/>
        <item x="1"/>
        <item x="2"/>
        <item t="default"/>
      </items>
    </pivotField>
    <pivotField showAll="0"/>
    <pivotField numFmtId="20" showAll="0"/>
    <pivotField numFmtId="20"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erage of Delay_Minutes" fld="10" subtotal="average" baseField="4" baseItem="0"/>
  </dataFields>
  <formats count="18">
    <format dxfId="130">
      <pivotArea type="all" dataOnly="0" outline="0" fieldPosition="0"/>
    </format>
    <format dxfId="129">
      <pivotArea outline="0" collapsedLevelsAreSubtotals="1" fieldPosition="0"/>
    </format>
    <format dxfId="128">
      <pivotArea field="4" type="button" dataOnly="0" labelOnly="1" outline="0" axis="axisRow" fieldPosition="0"/>
    </format>
    <format dxfId="127">
      <pivotArea dataOnly="0" labelOnly="1" fieldPosition="0">
        <references count="1">
          <reference field="4" count="0"/>
        </references>
      </pivotArea>
    </format>
    <format dxfId="126">
      <pivotArea dataOnly="0" labelOnly="1" grandRow="1" outline="0"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4" type="button" dataOnly="0" labelOnly="1" outline="0" axis="axisRow" fieldPosition="0"/>
    </format>
    <format dxfId="121">
      <pivotArea dataOnly="0" labelOnly="1" fieldPosition="0">
        <references count="1">
          <reference field="4" count="0"/>
        </references>
      </pivotArea>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4" type="button" dataOnly="0" labelOnly="1" outline="0" axis="axisRow" fieldPosition="0"/>
    </format>
    <format dxfId="115">
      <pivotArea dataOnly="0" labelOnly="1" fieldPosition="0">
        <references count="1">
          <reference field="4" count="0"/>
        </references>
      </pivotArea>
    </format>
    <format dxfId="114">
      <pivotArea dataOnly="0" labelOnly="1" grandRow="1" outline="0" fieldPosition="0"/>
    </format>
    <format dxfId="11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4E04B6-A8EC-4A0D-BCE7-70B287F82F0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13">
    <pivotField showAll="0"/>
    <pivotField numFmtId="14" showAll="0"/>
    <pivotField showAll="0">
      <items count="7">
        <item x="5"/>
        <item x="0"/>
        <item x="1"/>
        <item x="2"/>
        <item x="3"/>
        <item x="4"/>
        <item t="default"/>
      </items>
    </pivotField>
    <pivotField showAll="0"/>
    <pivotField axis="axisRow" showAll="0">
      <items count="4">
        <item x="0"/>
        <item x="1"/>
        <item x="2"/>
        <item t="default"/>
      </items>
    </pivotField>
    <pivotField showAll="0"/>
    <pivotField numFmtId="20" showAll="0"/>
    <pivotField numFmtId="20" showAll="0"/>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Sum of Students_Count" fld="8" baseField="0" baseItem="0"/>
  </dataFields>
  <formats count="18">
    <format dxfId="148">
      <pivotArea type="all" dataOnly="0" outline="0" fieldPosition="0"/>
    </format>
    <format dxfId="147">
      <pivotArea outline="0" collapsedLevelsAreSubtotals="1" fieldPosition="0"/>
    </format>
    <format dxfId="146">
      <pivotArea field="4" type="button" dataOnly="0" labelOnly="1" outline="0" axis="axisRow" fieldPosition="0"/>
    </format>
    <format dxfId="145">
      <pivotArea dataOnly="0" labelOnly="1" fieldPosition="0">
        <references count="1">
          <reference field="4" count="0"/>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4" type="button" dataOnly="0" labelOnly="1" outline="0" axis="axisRow" fieldPosition="0"/>
    </format>
    <format dxfId="139">
      <pivotArea dataOnly="0" labelOnly="1" fieldPosition="0">
        <references count="1">
          <reference field="4" count="0"/>
        </references>
      </pivotArea>
    </format>
    <format dxfId="138">
      <pivotArea dataOnly="0" labelOnly="1" grandRow="1" outline="0"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4" type="button" dataOnly="0" labelOnly="1" outline="0" axis="axisRow" fieldPosition="0"/>
    </format>
    <format dxfId="133">
      <pivotArea dataOnly="0" labelOnly="1" fieldPosition="0">
        <references count="1">
          <reference field="4" count="0"/>
        </references>
      </pivotArea>
    </format>
    <format dxfId="132">
      <pivotArea dataOnly="0" labelOnly="1" grandRow="1" outline="0" fieldPosition="0"/>
    </format>
    <format dxfId="13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8FA0F1A3-BF58-4839-BFB0-7C33E7C5784F}" sourceName="Day">
  <pivotTables>
    <pivotTable tabId="3" name="PivotTable3"/>
    <pivotTable tabId="3" name="PivotTable4"/>
    <pivotTable tabId="3" name="PivotTable6"/>
  </pivotTables>
  <data>
    <tabular pivotCacheId="112254715">
      <items count="6">
        <i x="5" s="1"/>
        <i x="0" s="1"/>
        <i x="1" s="1"/>
        <i x="2" s="1"/>
        <i x="3"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0948BEE7-855F-4110-BFA4-CA8E594C488C}" sourceName="Route">
  <pivotTables>
    <pivotTable tabId="3" name="PivotTable3"/>
    <pivotTable tabId="3" name="PivotTable4"/>
    <pivotTable tabId="3" name="PivotTable6"/>
  </pivotTables>
  <data>
    <tabular pivotCacheId="112254715">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D2404718-775C-4B79-B9EE-6D77E388DBF9}" cache="Slicer_Day" caption="Day" style="SlicerStyleDark6" rowHeight="241300"/>
  <slicer name="Route 1" xr10:uid="{8B0E7C45-D336-40AB-988B-B2B45C069C31}" cache="Slicer_Route" caption="Rout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8474C6-7300-4594-8DDC-EFD3C4D326BC}" name="Table1" displayName="Table1" ref="A1:M28" totalsRowShown="0" headerRowDxfId="16" headerRowBorderDxfId="15" tableBorderDxfId="14" totalsRowBorderDxfId="13">
  <autoFilter ref="A1:M28" xr:uid="{84FB08C2-60FE-45A7-AD2C-86743883B497}"/>
  <tableColumns count="13">
    <tableColumn id="1" xr3:uid="{893D52D0-1ADC-47C1-8D6F-9CEED598F579}" name="Trip_ID" dataDxfId="12"/>
    <tableColumn id="2" xr3:uid="{7DE88DDE-0BCC-4440-A7FB-2416BAB77520}" name="Date" dataDxfId="11"/>
    <tableColumn id="3" xr3:uid="{12AD48A3-3515-4D2C-A885-6D8A09D52080}" name="Day" dataDxfId="10"/>
    <tableColumn id="4" xr3:uid="{0739ACDF-9851-4D91-A3A7-902353A5B442}" name="Bus_ID" dataDxfId="9"/>
    <tableColumn id="5" xr3:uid="{3B0422E5-5331-41D5-A67E-5C237946FCE9}" name="Route" dataDxfId="8"/>
    <tableColumn id="6" xr3:uid="{A721918D-D753-41E6-AE63-F6F168C23046}" name="Stop" dataDxfId="7"/>
    <tableColumn id="7" xr3:uid="{351D221F-7EB7-4C76-BA97-534BB641DE61}" name="Scheduled_Time" dataDxfId="6"/>
    <tableColumn id="8" xr3:uid="{08E66077-BCA7-4A75-8E85-5702F0C7ED96}" name="Actual_Time" dataDxfId="5"/>
    <tableColumn id="9" xr3:uid="{D2C492D5-B56D-4E70-B2A7-808C27F28C60}" name="Students_Count" dataDxfId="4"/>
    <tableColumn id="10" xr3:uid="{80AC0190-B482-41D5-AA0A-8E490E35E042}" name="Capacity" dataDxfId="3"/>
    <tableColumn id="11" xr3:uid="{FEEE3B67-82A8-426C-91AE-BA69C945ECEA}" name="Delay_Minutes" dataDxfId="2">
      <calculatedColumnFormula>(H2-G2)*1440</calculatedColumnFormula>
    </tableColumn>
    <tableColumn id="12" xr3:uid="{A8CCFE4D-C4E7-4E8C-8876-3885F52F465F}" name="Crowd_Status" dataDxfId="1">
      <calculatedColumnFormula>IF(I2&gt;J2,"Overcrowded","Normal")</calculatedColumnFormula>
    </tableColumn>
    <tableColumn id="13" xr3:uid="{618EE210-0166-4992-AEAB-2BF5E1E1553B}" name="Occupancy_%" dataDxfId="0">
      <calculatedColumnFormula>I2/J2*100</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F17C29-9B24-4ED0-B6B5-859DB941391C}" name="Table2" displayName="Table2" ref="P6:P14" totalsRowShown="0">
  <autoFilter ref="P6:P14" xr:uid="{39C0DEE3-8DAE-4C47-8C06-A5B0AEEE900E}"/>
  <tableColumns count="1">
    <tableColumn id="1" xr3:uid="{1702464C-874E-4615-A607-DF9C776887A3}" name="Column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8227-B64E-4BF5-827B-1C42F0244CA4}">
  <dimension ref="A3:I14"/>
  <sheetViews>
    <sheetView showGridLines="0" showRowColHeaders="0" zoomScale="24" zoomScaleNormal="40" workbookViewId="0">
      <selection activeCell="F39" sqref="F39"/>
    </sheetView>
  </sheetViews>
  <sheetFormatPr defaultColWidth="31.42578125" defaultRowHeight="36.75" customHeight="1" x14ac:dyDescent="0.65"/>
  <cols>
    <col min="1" max="1" width="42.28515625" style="15" bestFit="1" customWidth="1"/>
    <col min="2" max="2" width="43" style="15" bestFit="1" customWidth="1"/>
    <col min="3" max="3" width="32.28515625" style="15" bestFit="1" customWidth="1"/>
    <col min="4" max="4" width="46.5703125" style="15" bestFit="1" customWidth="1"/>
    <col min="5" max="5" width="81.140625" style="15" bestFit="1" customWidth="1"/>
    <col min="6" max="6" width="46.5703125" style="15" bestFit="1" customWidth="1"/>
    <col min="7" max="7" width="84.7109375" style="15" bestFit="1" customWidth="1"/>
    <col min="8" max="8" width="76.28515625" style="15" bestFit="1" customWidth="1"/>
    <col min="9" max="9" width="81.140625" style="15" bestFit="1" customWidth="1"/>
    <col min="10" max="16384" width="31.42578125" style="15"/>
  </cols>
  <sheetData>
    <row r="3" spans="1:9" ht="45.75" x14ac:dyDescent="0.65">
      <c r="A3" s="16" t="s">
        <v>58</v>
      </c>
      <c r="B3" s="17" t="s">
        <v>60</v>
      </c>
      <c r="D3" s="16" t="s">
        <v>58</v>
      </c>
      <c r="E3" s="17" t="s">
        <v>61</v>
      </c>
      <c r="G3" s="16" t="s">
        <v>58</v>
      </c>
      <c r="H3" s="17" t="s">
        <v>62</v>
      </c>
    </row>
    <row r="4" spans="1:9" ht="45.75" x14ac:dyDescent="0.65">
      <c r="A4" s="18" t="s">
        <v>16</v>
      </c>
      <c r="B4" s="19">
        <v>323</v>
      </c>
      <c r="D4" s="18" t="s">
        <v>16</v>
      </c>
      <c r="E4" s="19">
        <v>6.1250000000000284</v>
      </c>
      <c r="G4" s="18" t="s">
        <v>16</v>
      </c>
      <c r="H4" s="19">
        <v>40.375</v>
      </c>
    </row>
    <row r="5" spans="1:9" ht="45.75" x14ac:dyDescent="0.65">
      <c r="A5" s="18" t="s">
        <v>22</v>
      </c>
      <c r="B5" s="19">
        <v>644</v>
      </c>
      <c r="D5" s="18" t="s">
        <v>22</v>
      </c>
      <c r="E5" s="19">
        <v>14.777777777777791</v>
      </c>
      <c r="G5" s="18" t="s">
        <v>22</v>
      </c>
      <c r="H5" s="19">
        <v>71.555555555555557</v>
      </c>
    </row>
    <row r="6" spans="1:9" ht="45.75" x14ac:dyDescent="0.65">
      <c r="A6" s="18" t="s">
        <v>28</v>
      </c>
      <c r="B6" s="19">
        <v>343</v>
      </c>
      <c r="D6" s="18" t="s">
        <v>28</v>
      </c>
      <c r="E6" s="19">
        <v>6.5999999999999446</v>
      </c>
      <c r="G6" s="18" t="s">
        <v>28</v>
      </c>
      <c r="H6" s="19">
        <v>34.299999999999997</v>
      </c>
    </row>
    <row r="7" spans="1:9" ht="45.75" x14ac:dyDescent="0.65">
      <c r="A7" s="18" t="s">
        <v>59</v>
      </c>
      <c r="B7" s="19">
        <v>1310</v>
      </c>
      <c r="D7" s="18" t="s">
        <v>59</v>
      </c>
      <c r="E7" s="19">
        <v>9.1851851851851762</v>
      </c>
      <c r="G7" s="18" t="s">
        <v>59</v>
      </c>
      <c r="H7" s="19">
        <v>48.518518518518519</v>
      </c>
    </row>
    <row r="9" spans="1:9" ht="45.75" x14ac:dyDescent="0.65">
      <c r="A9" s="16" t="s">
        <v>66</v>
      </c>
      <c r="B9" s="16" t="s">
        <v>63</v>
      </c>
      <c r="C9" s="17"/>
      <c r="D9" s="17"/>
      <c r="F9" s="16" t="s">
        <v>58</v>
      </c>
      <c r="G9" s="17" t="s">
        <v>62</v>
      </c>
      <c r="H9" s="17" t="s">
        <v>67</v>
      </c>
      <c r="I9" s="17" t="s">
        <v>61</v>
      </c>
    </row>
    <row r="10" spans="1:9" ht="45.75" x14ac:dyDescent="0.65">
      <c r="A10" s="16" t="s">
        <v>58</v>
      </c>
      <c r="B10" s="17" t="s">
        <v>64</v>
      </c>
      <c r="C10" s="17" t="s">
        <v>65</v>
      </c>
      <c r="D10" s="17" t="s">
        <v>59</v>
      </c>
      <c r="F10" s="18" t="s">
        <v>16</v>
      </c>
      <c r="G10" s="19">
        <v>40.375</v>
      </c>
      <c r="H10" s="19">
        <v>80.75</v>
      </c>
      <c r="I10" s="19">
        <v>6.1250000000000284</v>
      </c>
    </row>
    <row r="11" spans="1:9" ht="45.75" x14ac:dyDescent="0.65">
      <c r="A11" s="18" t="s">
        <v>15</v>
      </c>
      <c r="B11" s="19">
        <v>8</v>
      </c>
      <c r="C11" s="19"/>
      <c r="D11" s="19">
        <v>8</v>
      </c>
      <c r="F11" s="18" t="s">
        <v>22</v>
      </c>
      <c r="G11" s="19">
        <v>71.555555555555557</v>
      </c>
      <c r="H11" s="19">
        <v>143.11111111111111</v>
      </c>
      <c r="I11" s="19">
        <v>14.777777777777791</v>
      </c>
    </row>
    <row r="12" spans="1:9" ht="45.75" x14ac:dyDescent="0.65">
      <c r="A12" s="18" t="s">
        <v>21</v>
      </c>
      <c r="B12" s="19"/>
      <c r="C12" s="19">
        <v>9</v>
      </c>
      <c r="D12" s="19">
        <v>9</v>
      </c>
      <c r="F12" s="18" t="s">
        <v>28</v>
      </c>
      <c r="G12" s="19">
        <v>34.299999999999997</v>
      </c>
      <c r="H12" s="19">
        <v>85.75</v>
      </c>
      <c r="I12" s="19">
        <v>6.5999999999999446</v>
      </c>
    </row>
    <row r="13" spans="1:9" ht="45.75" x14ac:dyDescent="0.65">
      <c r="A13" s="18" t="s">
        <v>27</v>
      </c>
      <c r="B13" s="19">
        <v>9</v>
      </c>
      <c r="C13" s="19">
        <v>1</v>
      </c>
      <c r="D13" s="19">
        <v>10</v>
      </c>
      <c r="F13" s="18" t="s">
        <v>59</v>
      </c>
      <c r="G13" s="19">
        <v>48.518518518518519</v>
      </c>
      <c r="H13" s="19">
        <v>103.38888888888889</v>
      </c>
      <c r="I13" s="19">
        <v>9.1851851851851762</v>
      </c>
    </row>
    <row r="14" spans="1:9" ht="36.75" customHeight="1" x14ac:dyDescent="0.65">
      <c r="A14" s="18" t="s">
        <v>59</v>
      </c>
      <c r="B14" s="19">
        <v>17</v>
      </c>
      <c r="C14" s="19">
        <v>10</v>
      </c>
      <c r="D14" s="19">
        <v>27</v>
      </c>
    </row>
  </sheetData>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8046-A26E-4ACC-A2E6-B11AFFF4B764}">
  <dimension ref="A1:P28"/>
  <sheetViews>
    <sheetView topLeftCell="G3" zoomScale="67" zoomScaleNormal="36" workbookViewId="0">
      <selection activeCell="N22" sqref="N22"/>
    </sheetView>
  </sheetViews>
  <sheetFormatPr defaultColWidth="23.85546875" defaultRowHeight="21.75" customHeight="1" x14ac:dyDescent="0.25"/>
  <cols>
    <col min="17" max="17" width="28.7109375" customWidth="1"/>
  </cols>
  <sheetData>
    <row r="1" spans="1:16" s="14" customFormat="1" ht="21.75" customHeight="1" x14ac:dyDescent="0.25">
      <c r="A1" s="11" t="s">
        <v>0</v>
      </c>
      <c r="B1" s="12" t="s">
        <v>1</v>
      </c>
      <c r="C1" s="12" t="s">
        <v>2</v>
      </c>
      <c r="D1" s="12" t="s">
        <v>3</v>
      </c>
      <c r="E1" s="12" t="s">
        <v>4</v>
      </c>
      <c r="F1" s="12" t="s">
        <v>5</v>
      </c>
      <c r="G1" s="12" t="s">
        <v>6</v>
      </c>
      <c r="H1" s="12" t="s">
        <v>7</v>
      </c>
      <c r="I1" s="12" t="s">
        <v>8</v>
      </c>
      <c r="J1" s="12" t="s">
        <v>9</v>
      </c>
      <c r="K1" s="12" t="s">
        <v>10</v>
      </c>
      <c r="L1" s="12" t="s">
        <v>11</v>
      </c>
      <c r="M1" s="13" t="s">
        <v>12</v>
      </c>
    </row>
    <row r="2" spans="1:16" ht="21.75" customHeight="1" x14ac:dyDescent="0.25">
      <c r="A2" s="4" t="s">
        <v>13</v>
      </c>
      <c r="B2" s="2">
        <v>46266</v>
      </c>
      <c r="C2" s="1" t="s">
        <v>14</v>
      </c>
      <c r="D2" s="1" t="s">
        <v>15</v>
      </c>
      <c r="E2" s="1" t="s">
        <v>16</v>
      </c>
      <c r="F2" s="1" t="s">
        <v>17</v>
      </c>
      <c r="G2" s="3">
        <v>0.33333333333333331</v>
      </c>
      <c r="H2" s="3">
        <v>0.33680555555555558</v>
      </c>
      <c r="I2" s="1">
        <v>35</v>
      </c>
      <c r="J2" s="1">
        <v>50</v>
      </c>
      <c r="K2" s="1">
        <f>(H2-G2)*1440</f>
        <v>5.0000000000000622</v>
      </c>
      <c r="L2" s="1" t="str">
        <f>IF(I2&gt;J2,"Overcrowded","Normal")</f>
        <v>Normal</v>
      </c>
      <c r="M2" s="5">
        <f>I2/J2*100</f>
        <v>70</v>
      </c>
    </row>
    <row r="3" spans="1:16" ht="21.75" customHeight="1" x14ac:dyDescent="0.25">
      <c r="A3" s="4" t="s">
        <v>18</v>
      </c>
      <c r="B3" s="2">
        <v>46266</v>
      </c>
      <c r="C3" s="1" t="s">
        <v>14</v>
      </c>
      <c r="D3" s="1" t="s">
        <v>15</v>
      </c>
      <c r="E3" s="1" t="s">
        <v>16</v>
      </c>
      <c r="F3" s="1" t="s">
        <v>19</v>
      </c>
      <c r="G3" s="3">
        <v>0.34027777777777773</v>
      </c>
      <c r="H3" s="3">
        <v>0.34583333333333338</v>
      </c>
      <c r="I3" s="1">
        <v>48</v>
      </c>
      <c r="J3" s="1">
        <v>50</v>
      </c>
      <c r="K3" s="1">
        <f t="shared" ref="K3:K11" si="0">(H3-G3)*1440</f>
        <v>8.0000000000001315</v>
      </c>
      <c r="L3" s="1" t="str">
        <f t="shared" ref="L3:L11" si="1">IF(I3&gt;J3,"Overcrowded","Normal")</f>
        <v>Normal</v>
      </c>
      <c r="M3" s="5">
        <f t="shared" ref="M3:M8" si="2">I3/J3*100</f>
        <v>96</v>
      </c>
    </row>
    <row r="4" spans="1:16" ht="21.75" customHeight="1" x14ac:dyDescent="0.25">
      <c r="A4" s="4" t="s">
        <v>20</v>
      </c>
      <c r="B4" s="2">
        <v>46266</v>
      </c>
      <c r="C4" s="1" t="s">
        <v>14</v>
      </c>
      <c r="D4" s="1" t="s">
        <v>21</v>
      </c>
      <c r="E4" s="1" t="s">
        <v>22</v>
      </c>
      <c r="F4" s="1" t="s">
        <v>23</v>
      </c>
      <c r="G4" s="3">
        <v>0.33333333333333331</v>
      </c>
      <c r="H4" s="3">
        <v>0.34375</v>
      </c>
      <c r="I4" s="1">
        <v>62</v>
      </c>
      <c r="J4" s="1">
        <v>50</v>
      </c>
      <c r="K4" s="1">
        <f t="shared" si="0"/>
        <v>15.000000000000027</v>
      </c>
      <c r="L4" s="1" t="str">
        <f t="shared" si="1"/>
        <v>Overcrowded</v>
      </c>
      <c r="M4" s="5">
        <f t="shared" si="2"/>
        <v>124</v>
      </c>
    </row>
    <row r="5" spans="1:16" ht="21.75" customHeight="1" x14ac:dyDescent="0.25">
      <c r="A5" s="4" t="s">
        <v>24</v>
      </c>
      <c r="B5" s="2">
        <v>46266</v>
      </c>
      <c r="C5" s="1" t="s">
        <v>14</v>
      </c>
      <c r="D5" s="1" t="s">
        <v>21</v>
      </c>
      <c r="E5" s="1" t="s">
        <v>22</v>
      </c>
      <c r="F5" s="1" t="s">
        <v>25</v>
      </c>
      <c r="G5" s="3">
        <v>0.34722222222222227</v>
      </c>
      <c r="H5" s="3">
        <v>0.35416666666666669</v>
      </c>
      <c r="I5" s="1">
        <v>70</v>
      </c>
      <c r="J5" s="1">
        <v>50</v>
      </c>
      <c r="K5" s="1">
        <f t="shared" si="0"/>
        <v>9.9999999999999645</v>
      </c>
      <c r="L5" s="1" t="str">
        <f t="shared" si="1"/>
        <v>Overcrowded</v>
      </c>
      <c r="M5" s="5">
        <f t="shared" si="2"/>
        <v>140</v>
      </c>
    </row>
    <row r="6" spans="1:16" ht="21.75" customHeight="1" x14ac:dyDescent="0.25">
      <c r="A6" s="4" t="s">
        <v>26</v>
      </c>
      <c r="B6" s="2">
        <v>46266</v>
      </c>
      <c r="C6" s="1" t="s">
        <v>14</v>
      </c>
      <c r="D6" s="1" t="s">
        <v>27</v>
      </c>
      <c r="E6" s="1" t="s">
        <v>28</v>
      </c>
      <c r="F6" s="1" t="s">
        <v>29</v>
      </c>
      <c r="G6" s="3">
        <v>0.33680555555555558</v>
      </c>
      <c r="H6" s="3">
        <v>0.33888888888888885</v>
      </c>
      <c r="I6" s="1">
        <v>28</v>
      </c>
      <c r="J6" s="1">
        <v>40</v>
      </c>
      <c r="K6" s="1">
        <f t="shared" si="0"/>
        <v>2.9999999999999094</v>
      </c>
      <c r="L6" s="1" t="str">
        <f t="shared" si="1"/>
        <v>Normal</v>
      </c>
      <c r="M6" s="5">
        <f t="shared" si="2"/>
        <v>70</v>
      </c>
      <c r="P6" t="s">
        <v>72</v>
      </c>
    </row>
    <row r="7" spans="1:16" ht="21.75" customHeight="1" x14ac:dyDescent="0.25">
      <c r="A7" s="4" t="s">
        <v>30</v>
      </c>
      <c r="B7" s="2">
        <v>46267</v>
      </c>
      <c r="C7" s="1" t="s">
        <v>31</v>
      </c>
      <c r="D7" s="1" t="s">
        <v>15</v>
      </c>
      <c r="E7" s="1" t="s">
        <v>16</v>
      </c>
      <c r="F7" s="1" t="s">
        <v>17</v>
      </c>
      <c r="G7" s="3">
        <v>0.33333333333333331</v>
      </c>
      <c r="H7" s="3">
        <v>0.33611111111111108</v>
      </c>
      <c r="I7" s="1">
        <v>40</v>
      </c>
      <c r="J7" s="1">
        <v>50</v>
      </c>
      <c r="K7" s="1">
        <f t="shared" si="0"/>
        <v>3.9999999999999858</v>
      </c>
      <c r="L7" s="1" t="str">
        <f t="shared" si="1"/>
        <v>Normal</v>
      </c>
      <c r="M7" s="5">
        <f t="shared" si="2"/>
        <v>80</v>
      </c>
      <c r="P7" t="s">
        <v>68</v>
      </c>
    </row>
    <row r="8" spans="1:16" ht="21.75" customHeight="1" x14ac:dyDescent="0.25">
      <c r="A8" s="4" t="s">
        <v>32</v>
      </c>
      <c r="B8" s="2">
        <v>46267</v>
      </c>
      <c r="C8" s="1" t="s">
        <v>31</v>
      </c>
      <c r="D8" s="1" t="s">
        <v>15</v>
      </c>
      <c r="E8" s="1" t="s">
        <v>16</v>
      </c>
      <c r="F8" s="1" t="s">
        <v>19</v>
      </c>
      <c r="G8" s="3">
        <v>0.34027777777777773</v>
      </c>
      <c r="H8" s="3">
        <v>0.3430555555555555</v>
      </c>
      <c r="I8" s="1">
        <v>45</v>
      </c>
      <c r="J8" s="1">
        <v>50</v>
      </c>
      <c r="K8" s="1">
        <f t="shared" si="0"/>
        <v>3.9999999999999858</v>
      </c>
      <c r="L8" s="1" t="str">
        <f t="shared" si="1"/>
        <v>Normal</v>
      </c>
      <c r="M8" s="5">
        <f t="shared" si="2"/>
        <v>90</v>
      </c>
      <c r="P8">
        <f>COUNTA(A2:A28)</f>
        <v>27</v>
      </c>
    </row>
    <row r="9" spans="1:16" ht="21.75" customHeight="1" x14ac:dyDescent="0.25">
      <c r="A9" s="4" t="s">
        <v>33</v>
      </c>
      <c r="B9" s="2">
        <v>46267</v>
      </c>
      <c r="C9" s="1" t="s">
        <v>31</v>
      </c>
      <c r="D9" s="1" t="s">
        <v>21</v>
      </c>
      <c r="E9" s="1" t="s">
        <v>22</v>
      </c>
      <c r="F9" s="1" t="s">
        <v>23</v>
      </c>
      <c r="G9" s="3">
        <v>0.33333333333333331</v>
      </c>
      <c r="H9" s="3">
        <v>0.34166666666666662</v>
      </c>
      <c r="I9" s="1">
        <v>65</v>
      </c>
      <c r="J9" s="1">
        <v>50</v>
      </c>
      <c r="K9" s="1">
        <f t="shared" si="0"/>
        <v>11.999999999999957</v>
      </c>
      <c r="L9" s="1" t="str">
        <f t="shared" si="1"/>
        <v>Overcrowded</v>
      </c>
      <c r="M9" s="5">
        <f t="shared" ref="M9:M28" si="3">I9/J9*100</f>
        <v>130</v>
      </c>
      <c r="P9" t="s">
        <v>69</v>
      </c>
    </row>
    <row r="10" spans="1:16" ht="21.75" customHeight="1" x14ac:dyDescent="0.25">
      <c r="A10" s="4" t="s">
        <v>34</v>
      </c>
      <c r="B10" s="2">
        <v>46267</v>
      </c>
      <c r="C10" s="1" t="s">
        <v>31</v>
      </c>
      <c r="D10" s="1" t="s">
        <v>27</v>
      </c>
      <c r="E10" s="1" t="s">
        <v>28</v>
      </c>
      <c r="F10" s="1" t="s">
        <v>29</v>
      </c>
      <c r="G10" s="3">
        <v>0.33680555555555558</v>
      </c>
      <c r="H10" s="3">
        <v>0.34722222222222227</v>
      </c>
      <c r="I10" s="1">
        <v>38</v>
      </c>
      <c r="J10" s="1">
        <v>40</v>
      </c>
      <c r="K10" s="1">
        <f t="shared" si="0"/>
        <v>15.000000000000027</v>
      </c>
      <c r="L10" s="1" t="str">
        <f t="shared" si="1"/>
        <v>Normal</v>
      </c>
      <c r="M10" s="5">
        <f t="shared" si="3"/>
        <v>95</v>
      </c>
      <c r="P10">
        <f>SUM(I2:I28)</f>
        <v>1310</v>
      </c>
    </row>
    <row r="11" spans="1:16" ht="21.75" customHeight="1" x14ac:dyDescent="0.25">
      <c r="A11" s="4" t="s">
        <v>35</v>
      </c>
      <c r="B11" s="2">
        <v>46267</v>
      </c>
      <c r="C11" s="1" t="s">
        <v>31</v>
      </c>
      <c r="D11" s="1" t="s">
        <v>27</v>
      </c>
      <c r="E11" s="1" t="s">
        <v>28</v>
      </c>
      <c r="F11" s="1" t="s">
        <v>36</v>
      </c>
      <c r="G11" s="3">
        <v>0.34722222222222227</v>
      </c>
      <c r="H11" s="3">
        <v>0.3527777777777778</v>
      </c>
      <c r="I11" s="1">
        <v>42</v>
      </c>
      <c r="J11" s="1">
        <v>40</v>
      </c>
      <c r="K11" s="1">
        <f t="shared" si="0"/>
        <v>7.9999999999999716</v>
      </c>
      <c r="L11" s="1" t="str">
        <f t="shared" si="1"/>
        <v>Overcrowded</v>
      </c>
      <c r="M11" s="5">
        <f t="shared" si="3"/>
        <v>105</v>
      </c>
      <c r="P11" t="s">
        <v>70</v>
      </c>
    </row>
    <row r="12" spans="1:16" ht="21.75" customHeight="1" x14ac:dyDescent="0.25">
      <c r="A12" s="4" t="s">
        <v>37</v>
      </c>
      <c r="B12" s="2">
        <v>46268</v>
      </c>
      <c r="C12" s="1" t="s">
        <v>38</v>
      </c>
      <c r="D12" s="1" t="s">
        <v>15</v>
      </c>
      <c r="E12" s="1" t="s">
        <v>16</v>
      </c>
      <c r="F12" s="1" t="s">
        <v>17</v>
      </c>
      <c r="G12" s="3">
        <v>0.33333333333333331</v>
      </c>
      <c r="H12" s="3">
        <v>0.34027777777777773</v>
      </c>
      <c r="I12" s="1">
        <v>36</v>
      </c>
      <c r="J12" s="1">
        <v>50</v>
      </c>
      <c r="K12" s="1">
        <f t="shared" ref="K12:K28" si="4">(H12-G12)*1440</f>
        <v>9.9999999999999645</v>
      </c>
      <c r="L12" s="1" t="str">
        <f t="shared" ref="L12:L28" si="5">IF(I12&gt;J12,"Overcrowded","Normal")</f>
        <v>Normal</v>
      </c>
      <c r="M12" s="5">
        <f t="shared" si="3"/>
        <v>72</v>
      </c>
      <c r="P12">
        <v>9.18</v>
      </c>
    </row>
    <row r="13" spans="1:16" ht="21.75" customHeight="1" x14ac:dyDescent="0.25">
      <c r="A13" s="4" t="s">
        <v>39</v>
      </c>
      <c r="B13" s="2">
        <v>46268</v>
      </c>
      <c r="C13" s="1" t="s">
        <v>38</v>
      </c>
      <c r="D13" s="1" t="s">
        <v>21</v>
      </c>
      <c r="E13" s="1" t="s">
        <v>22</v>
      </c>
      <c r="F13" s="1" t="s">
        <v>23</v>
      </c>
      <c r="G13" s="3">
        <v>0.33333333333333331</v>
      </c>
      <c r="H13" s="3">
        <v>0.34722222222222227</v>
      </c>
      <c r="I13" s="1">
        <v>68</v>
      </c>
      <c r="J13" s="1">
        <v>50</v>
      </c>
      <c r="K13" s="1">
        <f t="shared" si="4"/>
        <v>20.000000000000089</v>
      </c>
      <c r="L13" s="1" t="str">
        <f t="shared" si="5"/>
        <v>Overcrowded</v>
      </c>
      <c r="M13" s="5">
        <f t="shared" si="3"/>
        <v>136</v>
      </c>
      <c r="P13" t="s">
        <v>71</v>
      </c>
    </row>
    <row r="14" spans="1:16" ht="21.75" customHeight="1" x14ac:dyDescent="0.25">
      <c r="A14" s="4" t="s">
        <v>40</v>
      </c>
      <c r="B14" s="2">
        <v>46268</v>
      </c>
      <c r="C14" s="1" t="s">
        <v>38</v>
      </c>
      <c r="D14" s="1" t="s">
        <v>21</v>
      </c>
      <c r="E14" s="1" t="s">
        <v>22</v>
      </c>
      <c r="F14" s="1" t="s">
        <v>25</v>
      </c>
      <c r="G14" s="3">
        <v>0.34722222222222227</v>
      </c>
      <c r="H14" s="3">
        <v>0.3576388888888889</v>
      </c>
      <c r="I14" s="1">
        <v>72</v>
      </c>
      <c r="J14" s="1">
        <v>50</v>
      </c>
      <c r="K14" s="1">
        <f t="shared" si="4"/>
        <v>14.999999999999947</v>
      </c>
      <c r="L14" s="1" t="str">
        <f t="shared" si="5"/>
        <v>Overcrowded</v>
      </c>
      <c r="M14" s="5">
        <f t="shared" si="3"/>
        <v>144</v>
      </c>
      <c r="P14">
        <f>COUNTIF(L2:L28,"OVERCROWDED")</f>
        <v>10</v>
      </c>
    </row>
    <row r="15" spans="1:16" ht="21.75" customHeight="1" x14ac:dyDescent="0.25">
      <c r="A15" s="4" t="s">
        <v>41</v>
      </c>
      <c r="B15" s="2">
        <v>46268</v>
      </c>
      <c r="C15" s="1" t="s">
        <v>38</v>
      </c>
      <c r="D15" s="1" t="s">
        <v>27</v>
      </c>
      <c r="E15" s="1" t="s">
        <v>28</v>
      </c>
      <c r="F15" s="1" t="s">
        <v>29</v>
      </c>
      <c r="G15" s="3">
        <v>0.33680555555555558</v>
      </c>
      <c r="H15" s="3">
        <v>0.33958333333333335</v>
      </c>
      <c r="I15" s="1">
        <v>30</v>
      </c>
      <c r="J15" s="1">
        <v>40</v>
      </c>
      <c r="K15" s="1">
        <f t="shared" si="4"/>
        <v>3.9999999999999858</v>
      </c>
      <c r="L15" s="1" t="str">
        <f t="shared" si="5"/>
        <v>Normal</v>
      </c>
      <c r="M15" s="5">
        <f t="shared" si="3"/>
        <v>75</v>
      </c>
    </row>
    <row r="16" spans="1:16" ht="21.75" customHeight="1" x14ac:dyDescent="0.25">
      <c r="A16" s="4" t="s">
        <v>42</v>
      </c>
      <c r="B16" s="2">
        <v>46268</v>
      </c>
      <c r="C16" s="1" t="s">
        <v>38</v>
      </c>
      <c r="D16" s="1" t="s">
        <v>27</v>
      </c>
      <c r="E16" s="1" t="s">
        <v>28</v>
      </c>
      <c r="F16" s="1" t="s">
        <v>36</v>
      </c>
      <c r="G16" s="3">
        <v>0.34722222222222227</v>
      </c>
      <c r="H16" s="3">
        <v>0.35069444444444442</v>
      </c>
      <c r="I16" s="1">
        <v>35</v>
      </c>
      <c r="J16" s="1">
        <v>40</v>
      </c>
      <c r="K16" s="1">
        <f t="shared" si="4"/>
        <v>4.9999999999999023</v>
      </c>
      <c r="L16" s="1" t="str">
        <f t="shared" si="5"/>
        <v>Normal</v>
      </c>
      <c r="M16" s="5">
        <f t="shared" si="3"/>
        <v>87.5</v>
      </c>
    </row>
    <row r="17" spans="1:13" ht="21.75" customHeight="1" x14ac:dyDescent="0.25">
      <c r="A17" s="4" t="s">
        <v>43</v>
      </c>
      <c r="B17" s="2">
        <v>46269</v>
      </c>
      <c r="C17" s="1" t="s">
        <v>44</v>
      </c>
      <c r="D17" s="1" t="s">
        <v>15</v>
      </c>
      <c r="E17" s="1" t="s">
        <v>16</v>
      </c>
      <c r="F17" s="1" t="s">
        <v>17</v>
      </c>
      <c r="G17" s="3">
        <v>0.33333333333333331</v>
      </c>
      <c r="H17" s="3">
        <v>0.33749999999999997</v>
      </c>
      <c r="I17" s="1">
        <v>38</v>
      </c>
      <c r="J17" s="1">
        <v>50</v>
      </c>
      <c r="K17" s="1">
        <f t="shared" si="4"/>
        <v>5.9999999999999787</v>
      </c>
      <c r="L17" s="1" t="str">
        <f t="shared" si="5"/>
        <v>Normal</v>
      </c>
      <c r="M17" s="5">
        <f t="shared" si="3"/>
        <v>76</v>
      </c>
    </row>
    <row r="18" spans="1:13" ht="21.75" customHeight="1" x14ac:dyDescent="0.25">
      <c r="A18" s="4" t="s">
        <v>45</v>
      </c>
      <c r="B18" s="2">
        <v>46269</v>
      </c>
      <c r="C18" s="1" t="s">
        <v>44</v>
      </c>
      <c r="D18" s="1" t="s">
        <v>21</v>
      </c>
      <c r="E18" s="1" t="s">
        <v>22</v>
      </c>
      <c r="F18" s="1" t="s">
        <v>23</v>
      </c>
      <c r="G18" s="3">
        <v>0.33333333333333331</v>
      </c>
      <c r="H18" s="3">
        <v>0.3430555555555555</v>
      </c>
      <c r="I18" s="1">
        <v>75</v>
      </c>
      <c r="J18" s="1">
        <v>50</v>
      </c>
      <c r="K18" s="1">
        <f t="shared" si="4"/>
        <v>13.99999999999995</v>
      </c>
      <c r="L18" s="1" t="str">
        <f t="shared" si="5"/>
        <v>Overcrowded</v>
      </c>
      <c r="M18" s="5">
        <f t="shared" si="3"/>
        <v>150</v>
      </c>
    </row>
    <row r="19" spans="1:13" ht="21.75" customHeight="1" x14ac:dyDescent="0.25">
      <c r="A19" s="4" t="s">
        <v>46</v>
      </c>
      <c r="B19" s="2">
        <v>46269</v>
      </c>
      <c r="C19" s="1" t="s">
        <v>44</v>
      </c>
      <c r="D19" s="1" t="s">
        <v>27</v>
      </c>
      <c r="E19" s="1" t="s">
        <v>28</v>
      </c>
      <c r="F19" s="1" t="s">
        <v>29</v>
      </c>
      <c r="G19" s="3">
        <v>0.33680555555555558</v>
      </c>
      <c r="H19" s="3">
        <v>0.34097222222222223</v>
      </c>
      <c r="I19" s="1">
        <v>32</v>
      </c>
      <c r="J19" s="1">
        <v>40</v>
      </c>
      <c r="K19" s="1">
        <v>6</v>
      </c>
      <c r="L19" s="1" t="str">
        <f t="shared" si="5"/>
        <v>Normal</v>
      </c>
      <c r="M19" s="5">
        <f t="shared" si="3"/>
        <v>80</v>
      </c>
    </row>
    <row r="20" spans="1:13" ht="21.75" customHeight="1" x14ac:dyDescent="0.25">
      <c r="A20" s="4" t="s">
        <v>47</v>
      </c>
      <c r="B20" s="2">
        <v>46269</v>
      </c>
      <c r="C20" s="1" t="s">
        <v>44</v>
      </c>
      <c r="D20" s="1" t="s">
        <v>21</v>
      </c>
      <c r="E20" s="1" t="s">
        <v>22</v>
      </c>
      <c r="F20" s="1" t="s">
        <v>25</v>
      </c>
      <c r="G20" s="3">
        <v>0.34722222222222227</v>
      </c>
      <c r="H20" s="3">
        <v>0.35625000000000001</v>
      </c>
      <c r="I20" s="1">
        <v>78</v>
      </c>
      <c r="J20" s="1">
        <v>50</v>
      </c>
      <c r="K20" s="1">
        <f t="shared" si="4"/>
        <v>12.999999999999954</v>
      </c>
      <c r="L20" s="1" t="str">
        <f t="shared" si="5"/>
        <v>Overcrowded</v>
      </c>
      <c r="M20" s="5">
        <f t="shared" si="3"/>
        <v>156</v>
      </c>
    </row>
    <row r="21" spans="1:13" ht="21.75" customHeight="1" x14ac:dyDescent="0.25">
      <c r="A21" s="4" t="s">
        <v>48</v>
      </c>
      <c r="B21" s="2">
        <v>46270</v>
      </c>
      <c r="C21" s="1" t="s">
        <v>49</v>
      </c>
      <c r="D21" s="1" t="s">
        <v>15</v>
      </c>
      <c r="E21" s="1" t="s">
        <v>16</v>
      </c>
      <c r="F21" s="1" t="s">
        <v>17</v>
      </c>
      <c r="G21" s="3">
        <v>0.33333333333333331</v>
      </c>
      <c r="H21" s="3">
        <v>0.33819444444444446</v>
      </c>
      <c r="I21" s="1">
        <v>42</v>
      </c>
      <c r="J21" s="1">
        <v>50</v>
      </c>
      <c r="K21" s="1">
        <f t="shared" si="4"/>
        <v>7.0000000000000551</v>
      </c>
      <c r="L21" s="1" t="str">
        <f t="shared" si="5"/>
        <v>Normal</v>
      </c>
      <c r="M21" s="5">
        <f t="shared" si="3"/>
        <v>84</v>
      </c>
    </row>
    <row r="22" spans="1:13" ht="21.75" customHeight="1" x14ac:dyDescent="0.25">
      <c r="A22" s="4" t="s">
        <v>50</v>
      </c>
      <c r="B22" s="2">
        <v>46270</v>
      </c>
      <c r="C22" s="1" t="s">
        <v>49</v>
      </c>
      <c r="D22" s="1" t="s">
        <v>21</v>
      </c>
      <c r="E22" s="1" t="s">
        <v>22</v>
      </c>
      <c r="F22" s="1" t="s">
        <v>23</v>
      </c>
      <c r="G22" s="3">
        <v>0.33333333333333331</v>
      </c>
      <c r="H22" s="3">
        <v>0.34583333333333338</v>
      </c>
      <c r="I22" s="1">
        <v>80</v>
      </c>
      <c r="J22" s="1">
        <v>50</v>
      </c>
      <c r="K22" s="1">
        <f t="shared" si="4"/>
        <v>18.000000000000096</v>
      </c>
      <c r="L22" s="1" t="str">
        <f t="shared" si="5"/>
        <v>Overcrowded</v>
      </c>
      <c r="M22" s="5">
        <f t="shared" si="3"/>
        <v>160</v>
      </c>
    </row>
    <row r="23" spans="1:13" ht="21.75" customHeight="1" x14ac:dyDescent="0.25">
      <c r="A23" s="4" t="s">
        <v>51</v>
      </c>
      <c r="B23" s="2">
        <v>46270</v>
      </c>
      <c r="C23" s="1" t="s">
        <v>49</v>
      </c>
      <c r="D23" s="1" t="s">
        <v>27</v>
      </c>
      <c r="E23" s="1" t="s">
        <v>28</v>
      </c>
      <c r="F23" s="1" t="s">
        <v>29</v>
      </c>
      <c r="G23" s="3">
        <v>0.33680555555555558</v>
      </c>
      <c r="H23" s="3">
        <v>0.34027777777777773</v>
      </c>
      <c r="I23" s="1">
        <v>34</v>
      </c>
      <c r="J23" s="1">
        <v>40</v>
      </c>
      <c r="K23" s="1">
        <f t="shared" si="4"/>
        <v>4.9999999999999023</v>
      </c>
      <c r="L23" s="1" t="str">
        <f t="shared" si="5"/>
        <v>Normal</v>
      </c>
      <c r="M23" s="5">
        <f t="shared" si="3"/>
        <v>85</v>
      </c>
    </row>
    <row r="24" spans="1:13" ht="21.75" customHeight="1" x14ac:dyDescent="0.25">
      <c r="A24" s="4" t="s">
        <v>52</v>
      </c>
      <c r="B24" s="2">
        <v>46270</v>
      </c>
      <c r="C24" s="1" t="s">
        <v>49</v>
      </c>
      <c r="D24" s="1" t="s">
        <v>27</v>
      </c>
      <c r="E24" s="1" t="s">
        <v>28</v>
      </c>
      <c r="F24" s="1" t="s">
        <v>36</v>
      </c>
      <c r="G24" s="3">
        <v>0.34722222222222227</v>
      </c>
      <c r="H24" s="3">
        <v>0.35138888888888892</v>
      </c>
      <c r="I24" s="1">
        <v>37</v>
      </c>
      <c r="J24" s="1">
        <v>40</v>
      </c>
      <c r="K24" s="1">
        <f t="shared" si="4"/>
        <v>5.9999999999999787</v>
      </c>
      <c r="L24" s="1" t="str">
        <f t="shared" si="5"/>
        <v>Normal</v>
      </c>
      <c r="M24" s="5">
        <f t="shared" si="3"/>
        <v>92.5</v>
      </c>
    </row>
    <row r="25" spans="1:13" ht="21.75" customHeight="1" x14ac:dyDescent="0.25">
      <c r="A25" s="4" t="s">
        <v>53</v>
      </c>
      <c r="B25" s="2">
        <v>46271</v>
      </c>
      <c r="C25" s="1" t="s">
        <v>54</v>
      </c>
      <c r="D25" s="1" t="s">
        <v>15</v>
      </c>
      <c r="E25" s="1" t="s">
        <v>16</v>
      </c>
      <c r="F25" s="1" t="s">
        <v>17</v>
      </c>
      <c r="G25" s="3">
        <v>0.33333333333333331</v>
      </c>
      <c r="H25" s="3">
        <v>0.33680555555555558</v>
      </c>
      <c r="I25" s="1">
        <v>39</v>
      </c>
      <c r="J25" s="1">
        <v>50</v>
      </c>
      <c r="K25" s="1">
        <f t="shared" si="4"/>
        <v>5.0000000000000622</v>
      </c>
      <c r="L25" s="1" t="str">
        <f t="shared" si="5"/>
        <v>Normal</v>
      </c>
      <c r="M25" s="5">
        <f t="shared" si="3"/>
        <v>78</v>
      </c>
    </row>
    <row r="26" spans="1:13" ht="21.75" customHeight="1" x14ac:dyDescent="0.25">
      <c r="A26" s="4" t="s">
        <v>55</v>
      </c>
      <c r="B26" s="2">
        <v>46271</v>
      </c>
      <c r="C26" s="1" t="s">
        <v>54</v>
      </c>
      <c r="D26" s="1" t="s">
        <v>21</v>
      </c>
      <c r="E26" s="1" t="s">
        <v>22</v>
      </c>
      <c r="F26" s="1" t="s">
        <v>23</v>
      </c>
      <c r="G26" s="3">
        <v>0.33333333333333331</v>
      </c>
      <c r="H26" s="3">
        <v>0.3444444444444445</v>
      </c>
      <c r="I26" s="1">
        <v>74</v>
      </c>
      <c r="J26" s="1">
        <v>50</v>
      </c>
      <c r="K26" s="1">
        <f t="shared" si="4"/>
        <v>16.000000000000103</v>
      </c>
      <c r="L26" s="1" t="str">
        <f t="shared" si="5"/>
        <v>Overcrowded</v>
      </c>
      <c r="M26" s="5">
        <f t="shared" si="3"/>
        <v>148</v>
      </c>
    </row>
    <row r="27" spans="1:13" ht="21.75" customHeight="1" x14ac:dyDescent="0.25">
      <c r="A27" s="4" t="s">
        <v>56</v>
      </c>
      <c r="B27" s="2">
        <v>46271</v>
      </c>
      <c r="C27" s="1" t="s">
        <v>54</v>
      </c>
      <c r="D27" s="1" t="s">
        <v>27</v>
      </c>
      <c r="E27" s="1" t="s">
        <v>28</v>
      </c>
      <c r="F27" s="1" t="s">
        <v>29</v>
      </c>
      <c r="G27" s="3">
        <v>0.33680555555555558</v>
      </c>
      <c r="H27" s="3">
        <v>0.34166666666666662</v>
      </c>
      <c r="I27" s="1">
        <v>31</v>
      </c>
      <c r="J27" s="1">
        <v>40</v>
      </c>
      <c r="K27" s="1">
        <f t="shared" si="4"/>
        <v>6.9999999999998952</v>
      </c>
      <c r="L27" s="1" t="str">
        <f t="shared" si="5"/>
        <v>Normal</v>
      </c>
      <c r="M27" s="5">
        <f t="shared" si="3"/>
        <v>77.5</v>
      </c>
    </row>
    <row r="28" spans="1:13" ht="21.75" customHeight="1" x14ac:dyDescent="0.25">
      <c r="A28" s="6" t="s">
        <v>57</v>
      </c>
      <c r="B28" s="7">
        <v>46271</v>
      </c>
      <c r="C28" s="8" t="s">
        <v>54</v>
      </c>
      <c r="D28" s="8" t="s">
        <v>27</v>
      </c>
      <c r="E28" s="8" t="s">
        <v>28</v>
      </c>
      <c r="F28" s="8" t="s">
        <v>36</v>
      </c>
      <c r="G28" s="9">
        <v>0.34722222222222227</v>
      </c>
      <c r="H28" s="9">
        <v>0.3520833333333333</v>
      </c>
      <c r="I28" s="8">
        <v>36</v>
      </c>
      <c r="J28" s="8">
        <v>40</v>
      </c>
      <c r="K28" s="8">
        <f t="shared" si="4"/>
        <v>6.9999999999998952</v>
      </c>
      <c r="L28" s="8" t="str">
        <f t="shared" si="5"/>
        <v>Normal</v>
      </c>
      <c r="M28" s="10">
        <f t="shared" si="3"/>
        <v>90</v>
      </c>
    </row>
  </sheetData>
  <conditionalFormatting sqref="A1">
    <cfRule type="duplicateValues" dxfId="18" priority="1"/>
  </conditionalFormatting>
  <conditionalFormatting sqref="A2:A28">
    <cfRule type="duplicateValues" dxfId="17" priority="4"/>
  </conditionalFormatting>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E3A85-86C4-4286-AD95-23F89A1D12D3}">
  <dimension ref="A1"/>
  <sheetViews>
    <sheetView showGridLines="0" showRowColHeaders="0" tabSelected="1" topLeftCell="D2" zoomScale="62" zoomScaleNormal="100" workbookViewId="0">
      <selection activeCell="AG28" sqref="AG28"/>
    </sheetView>
  </sheetViews>
  <sheetFormatPr defaultRowHeight="15" x14ac:dyDescent="0.25"/>
  <cols>
    <col min="1" max="1" width="9.1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RAJ PRIYAN</cp:lastModifiedBy>
  <dcterms:created xsi:type="dcterms:W3CDTF">2026-09-13T16:35:05Z</dcterms:created>
  <dcterms:modified xsi:type="dcterms:W3CDTF">2026-10-06T11:43:38Z</dcterms:modified>
</cp:coreProperties>
</file>